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9" autoFilterDateGrouping="1"/>
  </bookViews>
  <sheets>
    <sheet xmlns:r="http://schemas.openxmlformats.org/officeDocument/2006/relationships" name="Sept-25" sheetId="1" state="visible" r:id="rId1"/>
    <sheet xmlns:r="http://schemas.openxmlformats.org/officeDocument/2006/relationships" name="Oct-25" sheetId="2" state="visible" r:id="rId2"/>
    <sheet xmlns:r="http://schemas.openxmlformats.org/officeDocument/2006/relationships" name="Nov-25" sheetId="3" state="visible" r:id="rId3"/>
    <sheet xmlns:r="http://schemas.openxmlformats.org/officeDocument/2006/relationships" name="Dec-25" sheetId="4" state="visible" r:id="rId4"/>
    <sheet xmlns:r="http://schemas.openxmlformats.org/officeDocument/2006/relationships" name="Jan-26" sheetId="5" state="visible" r:id="rId5"/>
    <sheet xmlns:r="http://schemas.openxmlformats.org/officeDocument/2006/relationships" name="Feb-26" sheetId="6" state="visible" r:id="rId6"/>
    <sheet xmlns:r="http://schemas.openxmlformats.org/officeDocument/2006/relationships" name="March 26" sheetId="7" state="visible" r:id="rId7"/>
    <sheet xmlns:r="http://schemas.openxmlformats.org/officeDocument/2006/relationships" name="April 26" sheetId="8" state="visible" r:id="rId8"/>
    <sheet xmlns:r="http://schemas.openxmlformats.org/officeDocument/2006/relationships" name="MAY 26" sheetId="9" state="visible" r:id="rId9"/>
    <sheet xmlns:r="http://schemas.openxmlformats.org/officeDocument/2006/relationships" name="JUN 26" sheetId="10" state="visible" r:id="rId10"/>
  </sheets>
  <definedNames>
    <definedName name="_xlnm._FilterDatabase" localSheetId="0" hidden="1">'Sept-25'!$A$1:$N$17</definedName>
    <definedName name="_xlnm._FilterDatabase" localSheetId="1" hidden="1">'Oct-25'!$A$1:$P$43</definedName>
    <definedName name="_xlnm._FilterDatabase" localSheetId="3" hidden="1">'Dec-25'!$A$1:$P$13</definedName>
    <definedName name="_xlnm._FilterDatabase" localSheetId="4" hidden="1">'Jan-26'!$A$1:$U$43</definedName>
    <definedName name="_xlnm._FilterDatabase" localSheetId="5" hidden="1">'Feb-26'!$A$1:$Q$25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yyyy\-mm\-dd"/>
  </numFmts>
  <fonts count="20">
    <font>
      <name val="Calibri"/>
      <family val="2"/>
      <color theme="1"/>
      <sz val="11"/>
      <scheme val="minor"/>
    </font>
    <font>
      <name val="Aptos"/>
      <family val="2"/>
      <sz val="11"/>
    </font>
    <font>
      <name val="Aptos"/>
      <family val="2"/>
      <color theme="1"/>
      <sz val="11"/>
    </font>
    <font>
      <name val="Aptos"/>
      <family val="2"/>
      <color rgb="FF333333"/>
      <sz val="11"/>
    </font>
    <font>
      <name val="Aptos"/>
      <family val="2"/>
      <color rgb="FF000000"/>
      <sz val="11"/>
    </font>
    <font>
      <name val="Aptos"/>
      <family val="2"/>
      <color rgb="FF21252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b val="1"/>
      <sz val="11"/>
    </font>
    <font>
      <name val="Arial"/>
      <family val="2"/>
      <sz val="9"/>
    </font>
    <font>
      <name val="Calibri"/>
      <family val="2"/>
      <sz val="11"/>
      <scheme val="minor"/>
    </font>
    <font>
      <name val="Arial"/>
      <family val="2"/>
      <sz val="9.9"/>
    </font>
    <font>
      <name val="Arial"/>
      <family val="2"/>
      <sz val="11"/>
    </font>
    <font>
      <name val="Arial"/>
      <family val="2"/>
      <color rgb="FF212529"/>
      <sz val="9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14" fillId="0" borderId="0"/>
    <xf numFmtId="0" fontId="6" fillId="0" borderId="0"/>
    <xf numFmtId="43" fontId="14" fillId="0" borderId="0"/>
  </cellStyleXfs>
  <cellXfs count="1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4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14" fontId="0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" fillId="0" borderId="1" pivotButton="0" quotePrefix="0" xfId="0"/>
    <xf numFmtId="0" fontId="9" fillId="0" borderId="1" pivotButton="0" quotePrefix="0" xfId="0"/>
    <xf numFmtId="0" fontId="10" fillId="0" borderId="1" pivotButton="0" quotePrefix="0" xfId="1"/>
    <xf numFmtId="0" fontId="11" fillId="3" borderId="1" applyAlignment="1" pivotButton="0" quotePrefix="0" xfId="0">
      <alignment vertical="center" wrapText="1"/>
    </xf>
    <xf numFmtId="0" fontId="12" fillId="0" borderId="1" pivotButton="0" quotePrefix="0" xfId="0"/>
    <xf numFmtId="0" fontId="13" fillId="0" borderId="0" pivotButton="0" quotePrefix="0" xfId="0"/>
    <xf numFmtId="0" fontId="15" fillId="0" borderId="0" applyAlignment="1" pivotButton="0" quotePrefix="0" xfId="0">
      <alignment horizontal="left"/>
    </xf>
    <xf numFmtId="14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43" fontId="15" fillId="0" borderId="1" applyAlignment="1" pivotButton="0" quotePrefix="0" xfId="2">
      <alignment horizontal="left"/>
    </xf>
    <xf numFmtId="0" fontId="15" fillId="0" borderId="1" applyAlignment="1" pivotButton="0" quotePrefix="0" xfId="0">
      <alignment horizontal="left" wrapText="1"/>
    </xf>
    <xf numFmtId="0" fontId="16" fillId="0" borderId="1" applyAlignment="1" pivotButton="0" quotePrefix="0" xfId="0">
      <alignment horizontal="left"/>
    </xf>
    <xf numFmtId="0" fontId="16" fillId="0" borderId="1" applyAlignment="1" pivotButton="0" quotePrefix="0" xfId="0">
      <alignment horizontal="left" wrapText="1"/>
    </xf>
    <xf numFmtId="43" fontId="16" fillId="0" borderId="1" applyAlignment="1" pivotButton="0" quotePrefix="0" xfId="2">
      <alignment horizontal="left"/>
    </xf>
    <xf numFmtId="0" fontId="15" fillId="0" borderId="0" applyAlignment="1" pivotButton="0" quotePrefix="0" xfId="0">
      <alignment horizontal="left" wrapText="1"/>
    </xf>
    <xf numFmtId="0" fontId="15" fillId="0" borderId="1" applyAlignment="1" pivotButton="0" quotePrefix="0" xfId="0">
      <alignment wrapText="1"/>
    </xf>
    <xf numFmtId="43" fontId="15" fillId="0" borderId="1" applyAlignment="1" pivotButton="0" quotePrefix="0" xfId="2">
      <alignment horizontal="left" vertical="center"/>
    </xf>
    <xf numFmtId="0" fontId="15" fillId="0" borderId="1" applyAlignment="1" pivotButton="0" quotePrefix="0" xfId="0">
      <alignment horizontal="center"/>
    </xf>
    <xf numFmtId="0" fontId="16" fillId="4" borderId="1" applyAlignment="1" pivotButton="0" quotePrefix="0" xfId="0">
      <alignment horizontal="center" wrapText="1"/>
    </xf>
    <xf numFmtId="1" fontId="15" fillId="0" borderId="1" applyAlignment="1" pivotButton="0" quotePrefix="0" xfId="0">
      <alignment horizontal="left"/>
    </xf>
    <xf numFmtId="0" fontId="16" fillId="4" borderId="1" applyAlignment="1" pivotButton="0" quotePrefix="0" xfId="0">
      <alignment horizontal="left" wrapText="1"/>
    </xf>
    <xf numFmtId="2" fontId="15" fillId="0" borderId="1" applyAlignment="1" pivotButton="0" quotePrefix="0" xfId="0">
      <alignment horizontal="left"/>
    </xf>
    <xf numFmtId="43" fontId="15" fillId="0" borderId="1" applyAlignment="1" pivotButton="0" quotePrefix="0" xfId="2">
      <alignment vertical="center"/>
    </xf>
    <xf numFmtId="0" fontId="16" fillId="0" borderId="0" applyAlignment="1" pivotButton="0" quotePrefix="0" xfId="0">
      <alignment horizontal="left"/>
    </xf>
    <xf numFmtId="2" fontId="16" fillId="0" borderId="0" applyAlignment="1" pivotButton="0" quotePrefix="0" xfId="0">
      <alignment horizontal="left"/>
    </xf>
    <xf numFmtId="0" fontId="15" fillId="5" borderId="1" applyAlignment="1" pivotButton="0" quotePrefix="0" xfId="0">
      <alignment horizontal="center"/>
    </xf>
    <xf numFmtId="2" fontId="15" fillId="0" borderId="0" applyAlignment="1" pivotButton="0" quotePrefix="0" xfId="0">
      <alignment horizontal="left"/>
    </xf>
    <xf numFmtId="1" fontId="15" fillId="0" borderId="1" applyAlignment="1" pivotButton="0" quotePrefix="0" xfId="0">
      <alignment horizontal="center"/>
    </xf>
    <xf numFmtId="14" fontId="16" fillId="4" borderId="1" applyAlignment="1" pivotButton="0" quotePrefix="0" xfId="0">
      <alignment horizontal="center" wrapText="1"/>
    </xf>
    <xf numFmtId="14" fontId="15" fillId="0" borderId="1" applyAlignment="1" pivotButton="0" quotePrefix="0" xfId="0">
      <alignment horizontal="center"/>
    </xf>
    <xf numFmtId="2" fontId="15" fillId="0" borderId="1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14" fontId="15" fillId="0" borderId="1" applyAlignment="1" pivotButton="0" quotePrefix="0" xfId="0">
      <alignment horizontal="center" wrapText="1"/>
    </xf>
    <xf numFmtId="0" fontId="15" fillId="0" borderId="1" applyAlignment="1" pivotButton="0" quotePrefix="0" xfId="0">
      <alignment horizontal="center" wrapText="1"/>
    </xf>
    <xf numFmtId="43" fontId="15" fillId="0" borderId="1" applyAlignment="1" pivotButton="0" quotePrefix="0" xfId="2">
      <alignment horizontal="center"/>
    </xf>
    <xf numFmtId="0" fontId="15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 wrapText="1"/>
    </xf>
    <xf numFmtId="43" fontId="16" fillId="0" borderId="1" applyAlignment="1" pivotButton="0" quotePrefix="0" xfId="2">
      <alignment horizontal="center"/>
    </xf>
    <xf numFmtId="0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applyAlignment="1" pivotButton="0" quotePrefix="0" xfId="0">
      <alignment horizontal="center" vertical="center"/>
    </xf>
    <xf numFmtId="14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4" fontId="16" fillId="4" borderId="1" applyAlignment="1" pivotButton="0" quotePrefix="0" xfId="0">
      <alignment horizontal="center" vertical="center" wrapText="1"/>
    </xf>
    <xf numFmtId="43" fontId="15" fillId="0" borderId="1" applyAlignment="1" pivotButton="0" quotePrefix="0" xfId="2">
      <alignment horizontal="center" vertical="center"/>
    </xf>
    <xf numFmtId="0" fontId="15" fillId="0" borderId="0" applyAlignment="1" pivotButton="0" quotePrefix="0" xfId="0">
      <alignment horizontal="center" vertical="center"/>
    </xf>
    <xf numFmtId="2" fontId="15" fillId="0" borderId="1" applyAlignment="1" pivotButton="0" quotePrefix="0" xfId="0">
      <alignment horizontal="center" vertical="center"/>
    </xf>
    <xf numFmtId="1" fontId="15" fillId="0" borderId="1" applyAlignment="1" pivotButton="0" quotePrefix="0" xfId="0">
      <alignment horizontal="center" vertical="center"/>
    </xf>
    <xf numFmtId="14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3" fontId="16" fillId="0" borderId="1" applyAlignment="1" pivotButton="0" quotePrefix="0" xfId="2">
      <alignment horizontal="center" vertical="center"/>
    </xf>
    <xf numFmtId="0" fontId="16" fillId="0" borderId="0" applyAlignment="1" pivotButton="0" quotePrefix="0" xfId="0">
      <alignment horizontal="center" vertical="center"/>
    </xf>
    <xf numFmtId="2" fontId="16" fillId="0" borderId="0" applyAlignment="1" pivotButton="0" quotePrefix="0" xfId="0">
      <alignment horizontal="center" vertical="center"/>
    </xf>
    <xf numFmtId="43" fontId="15" fillId="0" borderId="0" applyAlignment="1" pivotButton="0" quotePrefix="0" xfId="0">
      <alignment horizontal="center" vertical="center"/>
    </xf>
    <xf numFmtId="14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18" fillId="0" borderId="1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2" fontId="16" fillId="0" borderId="1" applyAlignment="1" pivotButton="0" quotePrefix="0" xfId="0">
      <alignment horizontal="center" vertical="center"/>
    </xf>
    <xf numFmtId="43" fontId="15" fillId="0" borderId="3" applyAlignment="1" pivotButton="0" quotePrefix="0" xfId="2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4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43" fontId="0" fillId="0" borderId="1" applyAlignment="1" pivotButton="0" quotePrefix="0" xfId="2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43" fontId="7" fillId="0" borderId="1" applyAlignment="1" pivotButton="0" quotePrefix="0" xfId="2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43" fontId="0" fillId="0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left" vertical="center"/>
    </xf>
    <xf numFmtId="43" fontId="0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/>
    </xf>
    <xf numFmtId="165" fontId="17" fillId="0" borderId="1" applyAlignment="1" pivotButton="0" quotePrefix="0" xfId="0">
      <alignment horizontal="left" vertical="center"/>
    </xf>
    <xf numFmtId="43" fontId="15" fillId="0" borderId="1" applyAlignment="1" pivotButton="0" quotePrefix="0" xfId="2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3" fontId="15" fillId="0" borderId="3" applyAlignment="1" pivotButton="0" quotePrefix="0" xfId="2">
      <alignment horizontal="center" vertical="center"/>
    </xf>
    <xf numFmtId="43" fontId="15" fillId="0" borderId="1" applyAlignment="1" pivotButton="0" quotePrefix="0" xfId="2">
      <alignment vertical="center"/>
    </xf>
  </cellXfs>
  <cellStyles count="3">
    <cellStyle name="Normal" xfId="0" builtinId="0"/>
    <cellStyle name="Hyperlink" xfId="1" builtinId="8"/>
    <cellStyle name="Comm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velexp.com/shipment-history/details/707990" TargetMode="External" Id="rId1"/><Relationship Type="http://schemas.openxmlformats.org/officeDocument/2006/relationships/hyperlink" Target="https://velexp.com/shipment-history/details/7080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zoomScale="90" zoomScaleNormal="90" workbookViewId="0">
      <selection activeCell="L5" sqref="L5"/>
    </sheetView>
  </sheetViews>
  <sheetFormatPr baseColWidth="8" defaultColWidth="8.88671875" defaultRowHeight="14.4"/>
  <cols>
    <col width="16.88671875" bestFit="1" customWidth="1" style="1" min="1" max="1"/>
    <col width="30.5546875" bestFit="1" customWidth="1" style="1" min="2" max="2"/>
    <col width="39.5546875" customWidth="1" style="1" min="3" max="3"/>
    <col width="8.88671875" customWidth="1" style="1" min="4" max="4"/>
    <col width="12.33203125" bestFit="1" customWidth="1" style="1" min="5" max="5"/>
    <col width="9" bestFit="1" customWidth="1" style="1" min="6" max="7"/>
    <col width="13.44140625" bestFit="1" customWidth="1" style="1" min="8" max="8"/>
    <col width="14.6640625" bestFit="1" customWidth="1" style="1" min="9" max="9"/>
    <col width="12.5546875" customWidth="1" style="1" min="10" max="10"/>
    <col width="8.88671875" customWidth="1" style="1" min="11" max="12"/>
    <col hidden="1" width="8.88671875" customWidth="1" style="1" min="13" max="13"/>
    <col hidden="1" width="18.33203125" customWidth="1" style="1" min="14" max="14"/>
    <col width="8.88671875" customWidth="1" style="1" min="15" max="15"/>
    <col width="8.88671875" customWidth="1" style="1" min="16" max="16384"/>
  </cols>
  <sheetData>
    <row r="1">
      <c r="A1" s="11" t="inlineStr">
        <is>
          <t>Pickup Request Date</t>
        </is>
      </c>
      <c r="B1" s="11" t="inlineStr">
        <is>
          <t>Name</t>
        </is>
      </c>
      <c r="C1" s="11" t="inlineStr">
        <is>
          <t>Address</t>
        </is>
      </c>
      <c r="D1" s="11" t="inlineStr">
        <is>
          <t>City</t>
        </is>
      </c>
      <c r="E1" s="11" t="inlineStr">
        <is>
          <t>State</t>
        </is>
      </c>
      <c r="F1" s="11" t="inlineStr">
        <is>
          <t>No. Of Pcs</t>
        </is>
      </c>
      <c r="G1" s="11" t="inlineStr">
        <is>
          <t>Weight</t>
        </is>
      </c>
      <c r="H1" s="11" t="inlineStr">
        <is>
          <t>AWB No</t>
        </is>
      </c>
      <c r="I1" s="11" t="inlineStr">
        <is>
          <t>Status</t>
        </is>
      </c>
      <c r="J1" s="11" t="inlineStr">
        <is>
          <t xml:space="preserve">Delivered on </t>
        </is>
      </c>
      <c r="K1" s="11" t="inlineStr">
        <is>
          <t>Rate</t>
        </is>
      </c>
      <c r="L1" s="11" t="inlineStr">
        <is>
          <t>Amount</t>
        </is>
      </c>
      <c r="M1" s="11" t="inlineStr">
        <is>
          <t>INR 10</t>
        </is>
      </c>
      <c r="N1" s="11" t="inlineStr">
        <is>
          <t>Payment Received</t>
        </is>
      </c>
    </row>
    <row r="2">
      <c r="A2" s="2" t="n">
        <v>45913</v>
      </c>
      <c r="B2" s="7" t="inlineStr">
        <is>
          <t>Sai Associates</t>
        </is>
      </c>
      <c r="C2" s="7" t="inlineStr">
        <is>
          <t xml:space="preserve">M-24, ADDITIONAL MIDC, KODOLI, SATARA 415004 </t>
        </is>
      </c>
      <c r="D2" s="3" t="inlineStr">
        <is>
          <t>Satara</t>
        </is>
      </c>
      <c r="E2" s="3" t="inlineStr">
        <is>
          <t>Maharashtra</t>
        </is>
      </c>
      <c r="F2" s="3" t="n">
        <v>19</v>
      </c>
      <c r="G2" s="3" t="n">
        <v>300</v>
      </c>
      <c r="H2" s="12" t="inlineStr">
        <is>
          <t>VE100051397</t>
        </is>
      </c>
      <c r="I2" s="3" t="inlineStr">
        <is>
          <t>Delivered</t>
        </is>
      </c>
      <c r="J2" s="2" t="n">
        <v>45915</v>
      </c>
      <c r="K2" s="3" t="n">
        <v>13</v>
      </c>
      <c r="L2" s="3">
        <f>+G2*13</f>
        <v/>
      </c>
      <c r="M2" s="3">
        <f>G2*10</f>
        <v/>
      </c>
      <c r="N2" s="8" t="n">
        <v>924</v>
      </c>
    </row>
    <row r="3">
      <c r="A3" s="2" t="n">
        <v>45913</v>
      </c>
      <c r="B3" s="6" t="inlineStr">
        <is>
          <t>THANUSAR ENTERPRISES</t>
        </is>
      </c>
      <c r="C3" s="7" t="inlineStr">
        <is>
          <t>PLOT NO 4/50, ADHAR INDUSTRIAL PREMISES, SECTOR NO 10 MIDC, BHOSARI</t>
        </is>
      </c>
      <c r="D3" s="3" t="inlineStr">
        <is>
          <t>Pune</t>
        </is>
      </c>
      <c r="E3" s="3" t="inlineStr">
        <is>
          <t>Maharashtra</t>
        </is>
      </c>
      <c r="F3" s="3" t="n">
        <v>4</v>
      </c>
      <c r="G3" s="3" t="n">
        <v>90</v>
      </c>
      <c r="H3" s="12" t="inlineStr">
        <is>
          <t>VE100051400</t>
        </is>
      </c>
      <c r="I3" s="3" t="inlineStr">
        <is>
          <t>Delivered</t>
        </is>
      </c>
      <c r="J3" s="2" t="n">
        <v>45915</v>
      </c>
      <c r="K3" s="3" t="n">
        <v>13</v>
      </c>
      <c r="L3" s="3">
        <f>+G3*13</f>
        <v/>
      </c>
      <c r="M3" s="3">
        <f>G3*10</f>
        <v/>
      </c>
      <c r="N3" s="8" t="n">
        <v>458</v>
      </c>
    </row>
    <row r="4">
      <c r="A4" s="2" t="n">
        <v>45913</v>
      </c>
      <c r="B4" s="7" t="inlineStr">
        <is>
          <t>FERYEZ POLYMER PVT LTD</t>
        </is>
      </c>
      <c r="C4" s="7" t="inlineStr">
        <is>
          <t>SR.NO.172, CHICHWADGAON, PUNE</t>
        </is>
      </c>
      <c r="D4" s="3" t="inlineStr">
        <is>
          <t>Pune</t>
        </is>
      </c>
      <c r="E4" s="3" t="inlineStr">
        <is>
          <t>Maharashtra</t>
        </is>
      </c>
      <c r="F4" s="3" t="n">
        <v>7</v>
      </c>
      <c r="G4" s="4" t="n">
        <v>120</v>
      </c>
      <c r="H4" s="12" t="inlineStr">
        <is>
          <t>VE100051401</t>
        </is>
      </c>
      <c r="I4" s="3" t="inlineStr">
        <is>
          <t>Delivered</t>
        </is>
      </c>
      <c r="J4" s="2" t="n">
        <v>45915</v>
      </c>
      <c r="K4" s="3" t="n">
        <v>13</v>
      </c>
      <c r="L4" s="3">
        <f>+G4*13</f>
        <v/>
      </c>
      <c r="M4" s="3">
        <f>G4*10</f>
        <v/>
      </c>
      <c r="N4" s="8" t="n">
        <v>506</v>
      </c>
    </row>
    <row r="5">
      <c r="A5" s="2" t="n">
        <v>45915</v>
      </c>
      <c r="B5" s="7" t="inlineStr">
        <is>
          <t>AKAR AUTO INDUSTRIES LIMITED</t>
        </is>
      </c>
      <c r="C5" s="7" t="inlineStr">
        <is>
          <t>E 5 MIDC WALUJ, AURANGABAD</t>
        </is>
      </c>
      <c r="D5" s="3" t="inlineStr">
        <is>
          <t>Aurangabad</t>
        </is>
      </c>
      <c r="E5" s="3" t="inlineStr">
        <is>
          <t>Maharashtra</t>
        </is>
      </c>
      <c r="F5" s="5" t="n">
        <v>125</v>
      </c>
      <c r="G5" s="5" t="n">
        <v>3500</v>
      </c>
      <c r="H5" s="12" t="inlineStr">
        <is>
          <t>VE100052375</t>
        </is>
      </c>
      <c r="I5" s="3" t="inlineStr">
        <is>
          <t>Delivered</t>
        </is>
      </c>
      <c r="J5" s="2" t="n">
        <v>45916</v>
      </c>
      <c r="K5" s="3" t="inlineStr">
        <is>
          <t>FTL</t>
        </is>
      </c>
      <c r="L5" s="3" t="n">
        <v>13000</v>
      </c>
      <c r="M5" s="3" t="n">
        <v>13000</v>
      </c>
      <c r="N5" s="8" t="n">
        <v>6862</v>
      </c>
    </row>
    <row r="6">
      <c r="A6" s="2" t="n">
        <v>45916</v>
      </c>
      <c r="B6" s="7" t="inlineStr">
        <is>
          <t>PACOLINE INDUSTRIES PRIVATE LIMITED</t>
        </is>
      </c>
      <c r="C6" s="7" t="inlineStr">
        <is>
          <t>21 Hadapsar Indl Estate  Pune 411013</t>
        </is>
      </c>
      <c r="D6" s="3" t="inlineStr">
        <is>
          <t>Pune</t>
        </is>
      </c>
      <c r="E6" s="3" t="inlineStr">
        <is>
          <t>Maharashtra</t>
        </is>
      </c>
      <c r="F6" s="5" t="n">
        <v>31</v>
      </c>
      <c r="G6" s="5" t="n">
        <v>380</v>
      </c>
      <c r="H6" s="13" t="inlineStr">
        <is>
          <t>VE100052630</t>
        </is>
      </c>
      <c r="I6" s="3" t="inlineStr">
        <is>
          <t>Delivered</t>
        </is>
      </c>
      <c r="J6" s="2" t="n">
        <v>45917</v>
      </c>
      <c r="K6" s="3" t="n">
        <v>13</v>
      </c>
      <c r="L6" s="3">
        <f>+G6*13</f>
        <v/>
      </c>
      <c r="M6" s="3">
        <f>G6*10</f>
        <v/>
      </c>
      <c r="N6" s="8" t="n">
        <v>1133</v>
      </c>
    </row>
    <row r="7">
      <c r="A7" s="2" t="n">
        <v>45916</v>
      </c>
      <c r="B7" s="8" t="inlineStr">
        <is>
          <t>NIKY PRECISION ENGINEERS PRIVATE LIMITED</t>
        </is>
      </c>
      <c r="C7" s="8" t="inlineStr">
        <is>
          <t>Plot No 15, Gala No 1,3,5,7 Narhe Pune</t>
        </is>
      </c>
      <c r="D7" s="8" t="inlineStr">
        <is>
          <t>Pune</t>
        </is>
      </c>
      <c r="E7" s="3" t="inlineStr">
        <is>
          <t>Maharashtra</t>
        </is>
      </c>
      <c r="F7" s="8" t="n">
        <v>15</v>
      </c>
      <c r="G7" s="8" t="n">
        <v>140</v>
      </c>
      <c r="H7" s="14" t="inlineStr">
        <is>
          <t>VE100052635</t>
        </is>
      </c>
      <c r="I7" s="3" t="inlineStr">
        <is>
          <t>Delivered</t>
        </is>
      </c>
      <c r="J7" s="2" t="n">
        <v>45917</v>
      </c>
      <c r="K7" s="3" t="n">
        <v>13</v>
      </c>
      <c r="L7" s="3">
        <f>+G7*13</f>
        <v/>
      </c>
      <c r="M7" s="3">
        <f>G7*10</f>
        <v/>
      </c>
      <c r="N7" s="8" t="n">
        <v>507</v>
      </c>
    </row>
    <row r="8">
      <c r="A8" s="9" t="n">
        <v>45916</v>
      </c>
      <c r="B8" s="8" t="inlineStr">
        <is>
          <t>PREMIER SEALS INDIA PRIVATE LTD</t>
        </is>
      </c>
      <c r="C8" s="8" t="inlineStr">
        <is>
          <t>20/8 D1 block MIDC Chinchwad  Pune</t>
        </is>
      </c>
      <c r="D8" s="8" t="inlineStr">
        <is>
          <t>Pune</t>
        </is>
      </c>
      <c r="E8" s="3" t="inlineStr">
        <is>
          <t>Maharashtra</t>
        </is>
      </c>
      <c r="F8" s="8" t="n">
        <v>20</v>
      </c>
      <c r="G8" s="8" t="n">
        <v>120</v>
      </c>
      <c r="H8" s="15" t="inlineStr">
        <is>
          <t>VE100052641</t>
        </is>
      </c>
      <c r="I8" s="3" t="inlineStr">
        <is>
          <t>Delivered</t>
        </is>
      </c>
      <c r="J8" s="2" t="n">
        <v>45917</v>
      </c>
      <c r="K8" s="3" t="n">
        <v>13</v>
      </c>
      <c r="L8" s="3">
        <f>+G8*13</f>
        <v/>
      </c>
      <c r="M8" s="3">
        <f>G8*10</f>
        <v/>
      </c>
      <c r="N8" s="8" t="n">
        <v>444</v>
      </c>
    </row>
    <row r="9">
      <c r="A9" s="9" t="n">
        <v>45916</v>
      </c>
      <c r="B9" s="8" t="inlineStr">
        <is>
          <t>FERYEZ POLYMER PVT LTD</t>
        </is>
      </c>
      <c r="C9" s="8" t="inlineStr">
        <is>
          <t>S.No 172 Chinchwadgaon Pune</t>
        </is>
      </c>
      <c r="D9" s="8" t="inlineStr">
        <is>
          <t>Pune</t>
        </is>
      </c>
      <c r="E9" s="3" t="inlineStr">
        <is>
          <t>Maharashtra</t>
        </is>
      </c>
      <c r="F9" s="8" t="n">
        <v>20</v>
      </c>
      <c r="G9" s="8" t="n">
        <v>300</v>
      </c>
      <c r="H9" s="14" t="inlineStr">
        <is>
          <t>VE100052648</t>
        </is>
      </c>
      <c r="I9" s="3" t="inlineStr">
        <is>
          <t>Delivered</t>
        </is>
      </c>
      <c r="J9" s="2" t="n">
        <v>45917</v>
      </c>
      <c r="K9" s="3" t="n">
        <v>13</v>
      </c>
      <c r="L9" s="3">
        <f>+G9*13</f>
        <v/>
      </c>
      <c r="M9" s="3">
        <f>G9*10</f>
        <v/>
      </c>
      <c r="N9" s="8" t="n">
        <v>1964</v>
      </c>
    </row>
    <row r="10">
      <c r="A10" s="9" t="n">
        <v>45920</v>
      </c>
      <c r="B10" s="7" t="inlineStr">
        <is>
          <t>Sai Associates</t>
        </is>
      </c>
      <c r="C10" s="7" t="inlineStr">
        <is>
          <t xml:space="preserve">M-24, ADDITIONAL MIDC, KODOLI, SATARA 415004 </t>
        </is>
      </c>
      <c r="D10" s="3" t="inlineStr">
        <is>
          <t>Satara</t>
        </is>
      </c>
      <c r="E10" s="3" t="inlineStr">
        <is>
          <t>Maharashtra</t>
        </is>
      </c>
      <c r="F10" s="8" t="n">
        <v>2</v>
      </c>
      <c r="G10" s="8" t="n">
        <v>55</v>
      </c>
      <c r="H10" s="16" t="inlineStr">
        <is>
          <t>VE100053709</t>
        </is>
      </c>
      <c r="I10" s="3" t="inlineStr">
        <is>
          <t>Delivered</t>
        </is>
      </c>
      <c r="J10" s="9" t="n">
        <v>45922</v>
      </c>
      <c r="K10" s="8" t="n">
        <v>13</v>
      </c>
      <c r="L10" s="8">
        <f>+G10*K10</f>
        <v/>
      </c>
      <c r="M10" s="3">
        <f>G10*10</f>
        <v/>
      </c>
      <c r="N10" s="8" t="n">
        <v>130</v>
      </c>
    </row>
    <row r="11">
      <c r="A11" s="9" t="n">
        <v>45920</v>
      </c>
      <c r="B11" s="7" t="inlineStr">
        <is>
          <t>Lumax industries</t>
        </is>
      </c>
      <c r="C11" s="7" t="inlineStr">
        <is>
          <t>D2/43-44 MIDC INDL Area Chinchwad</t>
        </is>
      </c>
      <c r="D11" s="3" t="inlineStr">
        <is>
          <t>Pune</t>
        </is>
      </c>
      <c r="E11" s="3" t="inlineStr">
        <is>
          <t>Maharashtra</t>
        </is>
      </c>
      <c r="F11" s="8" t="n">
        <v>4</v>
      </c>
      <c r="G11" s="8" t="n">
        <v>120</v>
      </c>
      <c r="H11" s="16" t="inlineStr">
        <is>
          <t>VE100054622</t>
        </is>
      </c>
      <c r="I11" s="3" t="inlineStr">
        <is>
          <t>Delivered</t>
        </is>
      </c>
      <c r="J11" s="9" t="n">
        <v>45922</v>
      </c>
      <c r="K11" s="8" t="n">
        <v>13</v>
      </c>
      <c r="L11" s="8">
        <f>+G11*K11</f>
        <v/>
      </c>
      <c r="M11" s="3">
        <f>G11*10</f>
        <v/>
      </c>
      <c r="N11" s="8" t="n">
        <v>1105</v>
      </c>
    </row>
    <row r="12">
      <c r="A12" s="9" t="n">
        <v>45921</v>
      </c>
      <c r="B12" s="7" t="inlineStr">
        <is>
          <t>FERYEZ POLYMER PVT LTD</t>
        </is>
      </c>
      <c r="C12" s="7" t="inlineStr">
        <is>
          <t>SR.NO.172, CHICHWADGAON, PUNE</t>
        </is>
      </c>
      <c r="D12" s="3" t="inlineStr">
        <is>
          <t>Pune</t>
        </is>
      </c>
      <c r="E12" s="3" t="inlineStr">
        <is>
          <t>Maharashtra</t>
        </is>
      </c>
      <c r="F12" s="3" t="n">
        <v>23</v>
      </c>
      <c r="G12" s="8" t="n">
        <v>460</v>
      </c>
      <c r="H12" s="16" t="inlineStr">
        <is>
          <t>VE100055625</t>
        </is>
      </c>
      <c r="I12" s="3" t="inlineStr">
        <is>
          <t>Delivered</t>
        </is>
      </c>
      <c r="J12" s="9" t="n">
        <v>45922</v>
      </c>
      <c r="K12" s="8" t="n">
        <v>13</v>
      </c>
      <c r="L12" s="8">
        <f>+G12*K12</f>
        <v/>
      </c>
      <c r="M12" s="3">
        <f>G12*10</f>
        <v/>
      </c>
      <c r="N12" s="8" t="n">
        <v>1906</v>
      </c>
    </row>
    <row r="13">
      <c r="A13" s="9" t="n">
        <v>45921</v>
      </c>
      <c r="B13" s="7" t="inlineStr">
        <is>
          <t>Shekhar Brother</t>
        </is>
      </c>
      <c r="C13" s="7" t="inlineStr">
        <is>
          <t>Faridabad</t>
        </is>
      </c>
      <c r="D13" s="7" t="inlineStr">
        <is>
          <t>Faridabad</t>
        </is>
      </c>
      <c r="E13" s="7" t="inlineStr">
        <is>
          <t>Haryana</t>
        </is>
      </c>
      <c r="F13" s="3" t="n">
        <v>180</v>
      </c>
      <c r="G13" s="8" t="n">
        <v>1.9</v>
      </c>
      <c r="H13" s="16" t="inlineStr">
        <is>
          <t>VE100055334</t>
        </is>
      </c>
      <c r="I13" s="3" t="inlineStr">
        <is>
          <t>Delivered</t>
        </is>
      </c>
      <c r="J13" s="9" t="n">
        <v>45922</v>
      </c>
      <c r="K13" s="8" t="inlineStr">
        <is>
          <t>FTL</t>
        </is>
      </c>
      <c r="L13" s="8" t="n">
        <v>26000</v>
      </c>
      <c r="M13" s="3" t="n">
        <v>26000</v>
      </c>
      <c r="N13" s="8" t="n">
        <v>11030</v>
      </c>
    </row>
    <row r="14">
      <c r="A14" s="9" t="n">
        <v>45679</v>
      </c>
      <c r="B14" s="17" t="inlineStr">
        <is>
          <t>FERYEZ POLYMER PVT LTD</t>
        </is>
      </c>
      <c r="C14" s="7" t="inlineStr">
        <is>
          <t>SR.NO.172, CHICHWADGAON, PUNE</t>
        </is>
      </c>
      <c r="D14" s="3" t="inlineStr">
        <is>
          <t>Pune</t>
        </is>
      </c>
      <c r="E14" s="3" t="inlineStr">
        <is>
          <t>Maharashtra</t>
        </is>
      </c>
      <c r="F14" s="3" t="n">
        <v>20</v>
      </c>
      <c r="G14" s="8" t="n">
        <v>360</v>
      </c>
      <c r="H14" s="16" t="inlineStr">
        <is>
          <t>VE100055625</t>
        </is>
      </c>
      <c r="I14" s="3" t="inlineStr">
        <is>
          <t>Delivered</t>
        </is>
      </c>
      <c r="J14" s="9" t="n">
        <v>45924</v>
      </c>
      <c r="K14" s="8" t="n">
        <v>13</v>
      </c>
      <c r="L14" s="8">
        <f>+G14*K14</f>
        <v/>
      </c>
      <c r="M14" s="3">
        <f>G14*10</f>
        <v/>
      </c>
      <c r="N14" s="8" t="n">
        <v>1855</v>
      </c>
    </row>
    <row r="15">
      <c r="A15" s="9" t="n">
        <v>45918</v>
      </c>
      <c r="B15" s="7" t="inlineStr">
        <is>
          <t>Sai Associates</t>
        </is>
      </c>
      <c r="C15" s="7" t="inlineStr">
        <is>
          <t xml:space="preserve">M-24, ADDITIONAL MIDC, KODOLI, SATARA 415004 </t>
        </is>
      </c>
      <c r="D15" s="3" t="inlineStr">
        <is>
          <t>Satara</t>
        </is>
      </c>
      <c r="E15" s="3" t="inlineStr">
        <is>
          <t>Maharashtra</t>
        </is>
      </c>
      <c r="F15" s="3" t="n">
        <v>2</v>
      </c>
      <c r="G15" s="8" t="n">
        <v>60</v>
      </c>
      <c r="H15" s="17" t="inlineStr">
        <is>
          <t>VE100053709</t>
        </is>
      </c>
      <c r="I15" s="3" t="inlineStr">
        <is>
          <t>Delivered</t>
        </is>
      </c>
      <c r="J15" s="9" t="n">
        <v>45919</v>
      </c>
      <c r="K15" s="8" t="n">
        <v>13</v>
      </c>
      <c r="L15" s="8">
        <f>+G15*K15</f>
        <v/>
      </c>
      <c r="M15" s="3">
        <f>G15*10</f>
        <v/>
      </c>
      <c r="N15" s="8" t="n">
        <v>130</v>
      </c>
    </row>
    <row r="16">
      <c r="A16" s="9" t="n">
        <v>45918</v>
      </c>
      <c r="B16" s="7" t="inlineStr">
        <is>
          <t>Jude (Stationery)</t>
        </is>
      </c>
      <c r="C16" s="7" t="inlineStr">
        <is>
          <t>Optlog</t>
        </is>
      </c>
      <c r="D16" s="3" t="inlineStr">
        <is>
          <t>Pune</t>
        </is>
      </c>
      <c r="E16" s="3" t="inlineStr">
        <is>
          <t>Maharashtra</t>
        </is>
      </c>
      <c r="F16" s="3" t="n">
        <v>5</v>
      </c>
      <c r="G16" s="8" t="n">
        <v>80</v>
      </c>
      <c r="H16" s="17" t="n"/>
      <c r="I16" s="3" t="inlineStr">
        <is>
          <t>Delivered</t>
        </is>
      </c>
      <c r="J16" s="9" t="n">
        <v>45921</v>
      </c>
      <c r="K16" s="8" t="n">
        <v>13</v>
      </c>
      <c r="L16" s="8">
        <f>+G16*K16</f>
        <v/>
      </c>
      <c r="M16" s="3">
        <f>G16*10</f>
        <v/>
      </c>
      <c r="N16" s="8" t="n">
        <v>0</v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inlineStr">
        <is>
          <t>Total</t>
        </is>
      </c>
      <c r="I17" s="10" t="n"/>
      <c r="J17" s="10" t="n"/>
      <c r="K17" s="10" t="n"/>
      <c r="L17" s="10">
        <f>SUM(L2:L16)</f>
        <v/>
      </c>
      <c r="M17" s="10">
        <f>SUM(M2:M16)</f>
        <v/>
      </c>
      <c r="N17" s="10">
        <f>SUM(N2:N16)</f>
        <v/>
      </c>
    </row>
  </sheetData>
  <autoFilter ref="A1:N17"/>
  <hyperlinks>
    <hyperlink xmlns:r="http://schemas.openxmlformats.org/officeDocument/2006/relationships" ref="H7" display="https://velexp.com/shipment-history/details/707990" r:id="rId1"/>
    <hyperlink xmlns:r="http://schemas.openxmlformats.org/officeDocument/2006/relationships" ref="H9" display="https://velexp.com/shipment-history/details/708003" r:id="rId2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topLeftCell="C1" zoomScale="85" zoomScaleNormal="85" workbookViewId="0">
      <pane ySplit="1" topLeftCell="A16" activePane="bottomLeft" state="frozen"/>
      <selection pane="bottomLeft" activeCell="I19" sqref="I19"/>
    </sheetView>
  </sheetViews>
  <sheetFormatPr baseColWidth="8" defaultColWidth="8.88671875" defaultRowHeight="13.8"/>
  <cols>
    <col width="8.88671875" customWidth="1" style="18" min="1" max="1"/>
    <col width="12.33203125" customWidth="1" style="18" min="2" max="2"/>
    <col width="29" customWidth="1" style="26" min="3" max="3"/>
    <col width="30.109375" customWidth="1" style="26" min="4" max="4"/>
    <col width="15.33203125" bestFit="1" customWidth="1" style="26" min="5" max="5"/>
    <col width="12.33203125" customWidth="1" style="26" min="6" max="6"/>
    <col width="11.6640625" customWidth="1" style="18" min="7" max="7"/>
    <col width="12.33203125" bestFit="1" customWidth="1" style="18" min="8" max="8"/>
    <col width="9" bestFit="1" customWidth="1" style="18" min="9" max="9"/>
    <col width="14.6640625" bestFit="1" customWidth="1" style="18" min="10" max="10"/>
    <col width="12.5546875" customWidth="1" style="18" min="11" max="12"/>
    <col width="9" bestFit="1" customWidth="1" style="18" min="13" max="13"/>
    <col width="11.33203125" bestFit="1" customWidth="1" style="18" min="14" max="14"/>
    <col width="14.33203125" bestFit="1" customWidth="1" style="18" min="15" max="15"/>
    <col width="21.5546875" customWidth="1" style="18" min="16" max="16"/>
    <col width="8.88671875" customWidth="1" style="18" min="17" max="17"/>
    <col width="8.88671875" customWidth="1" style="18" min="18" max="16384"/>
  </cols>
  <sheetData>
    <row r="1" ht="27.6" customFormat="1" customHeight="1" s="26">
      <c r="A1" s="32" t="inlineStr">
        <is>
          <t>#</t>
        </is>
      </c>
      <c r="B1" s="30" t="inlineStr">
        <is>
          <t>Pickup Request Date</t>
        </is>
      </c>
      <c r="C1" s="30" t="inlineStr">
        <is>
          <t>Name</t>
        </is>
      </c>
      <c r="D1" s="30" t="inlineStr">
        <is>
          <t>Address</t>
        </is>
      </c>
      <c r="E1" s="30" t="inlineStr">
        <is>
          <t>Contact Person</t>
        </is>
      </c>
      <c r="F1" s="30" t="inlineStr">
        <is>
          <t>Contact Number</t>
        </is>
      </c>
      <c r="G1" s="30" t="inlineStr">
        <is>
          <t>City</t>
        </is>
      </c>
      <c r="H1" s="30" t="inlineStr">
        <is>
          <t>State</t>
        </is>
      </c>
      <c r="I1" s="30" t="inlineStr">
        <is>
          <t>Weight</t>
        </is>
      </c>
      <c r="J1" s="30" t="inlineStr">
        <is>
          <t>Status</t>
        </is>
      </c>
      <c r="K1" s="30" t="inlineStr">
        <is>
          <t xml:space="preserve">Delivered on </t>
        </is>
      </c>
      <c r="L1" s="30" t="inlineStr">
        <is>
          <t>TAT</t>
        </is>
      </c>
      <c r="M1" s="30" t="inlineStr">
        <is>
          <t>Rate</t>
        </is>
      </c>
      <c r="N1" s="30" t="inlineStr">
        <is>
          <t>Amount</t>
        </is>
      </c>
      <c r="O1" s="30" t="inlineStr">
        <is>
          <t>Actual Paid</t>
        </is>
      </c>
      <c r="P1" s="30" t="inlineStr">
        <is>
          <t>Paid by Optlog</t>
        </is>
      </c>
    </row>
    <row r="2" ht="41.4" customHeight="1">
      <c r="A2" s="37" t="n">
        <v>1</v>
      </c>
      <c r="B2" s="19" t="n">
        <v>45924</v>
      </c>
      <c r="C2" s="27" t="inlineStr">
        <is>
          <t>PREMIER SEALS INDIA PRIVATE LTD</t>
        </is>
      </c>
      <c r="D2" s="27" t="inlineStr">
        <is>
          <t>20/8, D-1 BLOCK, MIDC, CHINCHWAD, PUNE MAHARASHTRA 411019</t>
        </is>
      </c>
      <c r="E2" s="22" t="inlineStr">
        <is>
          <t xml:space="preserve">Mita </t>
        </is>
      </c>
      <c r="F2" s="22" t="n">
        <v>8956347535</v>
      </c>
      <c r="G2" s="20" t="inlineStr">
        <is>
          <t>Pune</t>
        </is>
      </c>
      <c r="H2" s="20" t="inlineStr">
        <is>
          <t>Maharashtra</t>
        </is>
      </c>
      <c r="I2" s="20" t="n">
        <v>200</v>
      </c>
      <c r="J2" s="20" t="inlineStr">
        <is>
          <t>Delivered</t>
        </is>
      </c>
      <c r="K2" s="19" t="n">
        <v>45925</v>
      </c>
      <c r="L2" s="31">
        <f>K2-B2</f>
        <v/>
      </c>
      <c r="M2" s="21" t="n">
        <v>10</v>
      </c>
      <c r="N2" s="21">
        <f>I2*M2</f>
        <v/>
      </c>
      <c r="O2" s="109" t="n"/>
      <c r="P2" s="20" t="n"/>
    </row>
    <row r="3" ht="27.6" customHeight="1">
      <c r="A3" s="37" t="n">
        <v>2</v>
      </c>
      <c r="B3" s="19" t="n">
        <v>45924</v>
      </c>
      <c r="C3" s="27" t="inlineStr">
        <is>
          <t>FERYEZ POLYMER PVT LTD</t>
        </is>
      </c>
      <c r="D3" s="27" t="inlineStr">
        <is>
          <t>SR.NO.172, CHICHWADGAON, PUNE 411033 MAHARASHTRA</t>
        </is>
      </c>
      <c r="E3" s="22" t="inlineStr">
        <is>
          <t xml:space="preserve">Sandip </t>
        </is>
      </c>
      <c r="F3" s="22" t="n">
        <v>9503161311</v>
      </c>
      <c r="G3" s="20" t="inlineStr">
        <is>
          <t>Pune</t>
        </is>
      </c>
      <c r="H3" s="20" t="inlineStr">
        <is>
          <t>Maharashtra</t>
        </is>
      </c>
      <c r="I3" s="20" t="n">
        <v>500</v>
      </c>
      <c r="J3" s="20" t="inlineStr">
        <is>
          <t>Delivered</t>
        </is>
      </c>
      <c r="K3" s="19" t="n">
        <v>45925</v>
      </c>
      <c r="L3" s="31">
        <f>K3-B3</f>
        <v/>
      </c>
      <c r="M3" s="21" t="n">
        <v>10</v>
      </c>
      <c r="N3" s="21">
        <f>I3*M3</f>
        <v/>
      </c>
      <c r="O3" s="109" t="n"/>
      <c r="P3" s="20" t="n"/>
    </row>
    <row r="4" ht="27.6" customHeight="1">
      <c r="A4" s="37" t="n">
        <v>3</v>
      </c>
      <c r="B4" s="19" t="n">
        <v>45924</v>
      </c>
      <c r="C4" s="27" t="inlineStr">
        <is>
          <t>PACOLINE INDUSTRIES PRIVATE LIMITED</t>
        </is>
      </c>
      <c r="D4" s="27" t="inlineStr">
        <is>
          <t>21 Hadapsar Indl Estate  Pune 411013</t>
        </is>
      </c>
      <c r="E4" s="22" t="n"/>
      <c r="F4" s="22" t="n"/>
      <c r="G4" s="22" t="inlineStr">
        <is>
          <t>Pune</t>
        </is>
      </c>
      <c r="H4" s="22" t="inlineStr">
        <is>
          <t>Maharashtra</t>
        </is>
      </c>
      <c r="I4" s="20" t="n">
        <v>100</v>
      </c>
      <c r="J4" s="20" t="inlineStr">
        <is>
          <t>Delivered</t>
        </is>
      </c>
      <c r="K4" s="19" t="n">
        <v>45925</v>
      </c>
      <c r="L4" s="31">
        <f>K4-B4</f>
        <v/>
      </c>
      <c r="M4" s="21" t="n">
        <v>10</v>
      </c>
      <c r="N4" s="21">
        <f>I4*M4</f>
        <v/>
      </c>
      <c r="O4" s="109" t="n"/>
      <c r="P4" s="20" t="n"/>
    </row>
    <row r="5" ht="41.4" customHeight="1">
      <c r="A5" s="37" t="n">
        <v>4</v>
      </c>
      <c r="B5" s="19" t="n">
        <v>45924</v>
      </c>
      <c r="C5" s="27" t="inlineStr">
        <is>
          <t>NIKY PRECISION ENGINEERS PRIVATE LIMITED</t>
        </is>
      </c>
      <c r="D5" s="27" t="inlineStr">
        <is>
          <t xml:space="preserve"> PLOT NO 15, GALA NO 1, 3, 5, 7, PLOT NO 9, S NO 38/2/18, 16, NARHE, PUNE-411041</t>
        </is>
      </c>
      <c r="E5" s="22" t="inlineStr">
        <is>
          <t>Jeevan</t>
        </is>
      </c>
      <c r="F5" s="22" t="n">
        <v>8446006021</v>
      </c>
      <c r="G5" s="20" t="inlineStr">
        <is>
          <t>Pune</t>
        </is>
      </c>
      <c r="H5" s="20" t="inlineStr">
        <is>
          <t>Maharashtra</t>
        </is>
      </c>
      <c r="I5" s="20" t="n">
        <v>60</v>
      </c>
      <c r="J5" s="20" t="inlineStr">
        <is>
          <t>Delivered</t>
        </is>
      </c>
      <c r="K5" s="19" t="n">
        <v>45925</v>
      </c>
      <c r="L5" s="31">
        <f>K5-B5</f>
        <v/>
      </c>
      <c r="M5" s="21" t="n">
        <v>10</v>
      </c>
      <c r="N5" s="21">
        <f>I5*M5</f>
        <v/>
      </c>
      <c r="O5" s="109" t="n"/>
      <c r="P5" s="20" t="n"/>
    </row>
    <row r="6" ht="27.6" customHeight="1">
      <c r="A6" s="37" t="n">
        <v>5</v>
      </c>
      <c r="B6" s="19" t="n">
        <v>45924</v>
      </c>
      <c r="C6" s="27" t="inlineStr">
        <is>
          <t>JAI BHAVANI MATA ENGITECH PRIVATE LIMITED</t>
        </is>
      </c>
      <c r="D6" s="27" t="inlineStr">
        <is>
          <t>681, LANDEWADI, BHOSARI . BHOSARI , PUNE – 411026</t>
        </is>
      </c>
      <c r="E6" s="22" t="inlineStr">
        <is>
          <t>Balaji</t>
        </is>
      </c>
      <c r="F6" s="22" t="n">
        <v>9765567788</v>
      </c>
      <c r="G6" s="20" t="inlineStr">
        <is>
          <t>Pune</t>
        </is>
      </c>
      <c r="H6" s="20" t="inlineStr">
        <is>
          <t>Maharashtra</t>
        </is>
      </c>
      <c r="I6" s="20" t="n">
        <v>200</v>
      </c>
      <c r="J6" s="20" t="inlineStr">
        <is>
          <t>Delivered</t>
        </is>
      </c>
      <c r="K6" s="19" t="n">
        <v>45925</v>
      </c>
      <c r="L6" s="31">
        <f>K6-B6</f>
        <v/>
      </c>
      <c r="M6" s="21" t="n">
        <v>10</v>
      </c>
      <c r="N6" s="21">
        <f>I6*M6</f>
        <v/>
      </c>
      <c r="O6" s="109" t="n"/>
      <c r="P6" s="20" t="n"/>
    </row>
    <row r="7" ht="41.4" customHeight="1">
      <c r="A7" s="37" t="n">
        <v>6</v>
      </c>
      <c r="B7" s="19" t="n">
        <v>45924</v>
      </c>
      <c r="C7" s="22" t="inlineStr">
        <is>
          <t>THANUSAR ENTERPRISES</t>
        </is>
      </c>
      <c r="D7" s="22" t="inlineStr">
        <is>
          <t>PLOT NO 4/50, ADHAR INDUSTRIAL PREMISES, SECTOR NO 10 MIDC, BHOSARI PUNE</t>
        </is>
      </c>
      <c r="E7" s="22" t="inlineStr">
        <is>
          <t>Vishnu</t>
        </is>
      </c>
      <c r="F7" s="22" t="n">
        <v>9036230620</v>
      </c>
      <c r="G7" s="20" t="inlineStr">
        <is>
          <t>Pune</t>
        </is>
      </c>
      <c r="H7" s="20" t="inlineStr">
        <is>
          <t>Maharashtra</t>
        </is>
      </c>
      <c r="I7" s="20" t="n">
        <v>100</v>
      </c>
      <c r="J7" s="20" t="inlineStr">
        <is>
          <t>Delivered</t>
        </is>
      </c>
      <c r="K7" s="19" t="n">
        <v>45925</v>
      </c>
      <c r="L7" s="31">
        <f>K7-B7</f>
        <v/>
      </c>
      <c r="M7" s="21" t="n">
        <v>10</v>
      </c>
      <c r="N7" s="21">
        <f>I7*M7</f>
        <v/>
      </c>
      <c r="O7" s="109" t="n"/>
      <c r="P7" s="20" t="n"/>
    </row>
    <row r="8" ht="27.6" customHeight="1">
      <c r="A8" s="37" t="n">
        <v>7</v>
      </c>
      <c r="B8" s="19" t="n">
        <v>45930</v>
      </c>
      <c r="C8" s="27" t="inlineStr">
        <is>
          <t>FERYEZ POLYMER PVT LTD</t>
        </is>
      </c>
      <c r="D8" s="27" t="inlineStr">
        <is>
          <t>SR.NO.172, CHICHWADGAON, PUNE 411033 MAHARASHTRA</t>
        </is>
      </c>
      <c r="E8" s="22" t="inlineStr">
        <is>
          <t xml:space="preserve">Sandip </t>
        </is>
      </c>
      <c r="F8" s="22" t="n">
        <v>9503161311</v>
      </c>
      <c r="G8" s="20" t="inlineStr">
        <is>
          <t>Pune</t>
        </is>
      </c>
      <c r="H8" s="20" t="inlineStr">
        <is>
          <t>Maharashtra</t>
        </is>
      </c>
      <c r="I8" s="20" t="n">
        <v>600</v>
      </c>
      <c r="J8" s="20" t="inlineStr">
        <is>
          <t>Delivered</t>
        </is>
      </c>
      <c r="K8" s="19" t="n">
        <v>45931</v>
      </c>
      <c r="L8" s="31">
        <f>K8-B8</f>
        <v/>
      </c>
      <c r="M8" s="21" t="n">
        <v>10</v>
      </c>
      <c r="N8" s="21">
        <f>I8*M8</f>
        <v/>
      </c>
      <c r="O8" s="109" t="n"/>
      <c r="P8" s="20" t="n"/>
    </row>
    <row r="9" ht="41.4" customHeight="1">
      <c r="A9" s="37" t="n">
        <v>8</v>
      </c>
      <c r="B9" s="19" t="n">
        <v>45930</v>
      </c>
      <c r="C9" s="27" t="inlineStr">
        <is>
          <t>NIKY PRECISION ENGINEERS PRIVATE LIMITED</t>
        </is>
      </c>
      <c r="D9" s="27" t="inlineStr">
        <is>
          <t xml:space="preserve"> PLOT NO 15, GALA NO 1, 3, 5, 7, PLOT NO 9, S NO 38/2/18, 16, NARHE, PUNE-411041</t>
        </is>
      </c>
      <c r="E9" s="22" t="inlineStr">
        <is>
          <t>Jeevan</t>
        </is>
      </c>
      <c r="F9" s="22" t="n">
        <v>8446006021</v>
      </c>
      <c r="G9" s="20" t="inlineStr">
        <is>
          <t>Pune</t>
        </is>
      </c>
      <c r="H9" s="20" t="inlineStr">
        <is>
          <t>Maharashtra</t>
        </is>
      </c>
      <c r="I9" s="20" t="n">
        <v>500</v>
      </c>
      <c r="J9" s="20" t="inlineStr">
        <is>
          <t>Delivered</t>
        </is>
      </c>
      <c r="K9" s="19" t="n">
        <v>45931</v>
      </c>
      <c r="L9" s="31">
        <f>K9-B9</f>
        <v/>
      </c>
      <c r="M9" s="21" t="n">
        <v>10</v>
      </c>
      <c r="N9" s="21">
        <f>I9*M9</f>
        <v/>
      </c>
      <c r="O9" s="109" t="n"/>
      <c r="P9" s="20" t="n"/>
    </row>
    <row r="10" ht="27.6" customHeight="1">
      <c r="A10" s="37" t="n">
        <v>9</v>
      </c>
      <c r="B10" s="19" t="n">
        <v>45930</v>
      </c>
      <c r="C10" s="27" t="inlineStr">
        <is>
          <t>JAI BHAVANI MATA ENGITECH PRIVATE LIMITED</t>
        </is>
      </c>
      <c r="D10" s="27" t="inlineStr">
        <is>
          <t>681, LANDEWADI, BHOSARI . BHOSARI , PUNE – 411026</t>
        </is>
      </c>
      <c r="E10" s="22" t="inlineStr">
        <is>
          <t>Balaji</t>
        </is>
      </c>
      <c r="F10" s="22" t="n">
        <v>9765567788</v>
      </c>
      <c r="G10" s="20" t="inlineStr">
        <is>
          <t>Pune</t>
        </is>
      </c>
      <c r="H10" s="20" t="inlineStr">
        <is>
          <t>Maharashtra</t>
        </is>
      </c>
      <c r="I10" s="20" t="n">
        <v>300</v>
      </c>
      <c r="J10" s="20" t="inlineStr">
        <is>
          <t>Delivered</t>
        </is>
      </c>
      <c r="K10" s="19" t="n">
        <v>45931</v>
      </c>
      <c r="L10" s="31">
        <f>K10-B10</f>
        <v/>
      </c>
      <c r="M10" s="21" t="n">
        <v>10</v>
      </c>
      <c r="N10" s="21">
        <f>I10*M10</f>
        <v/>
      </c>
      <c r="O10" s="109" t="n"/>
      <c r="P10" s="20" t="n"/>
    </row>
    <row r="11" ht="41.4" customHeight="1">
      <c r="A11" s="37" t="n">
        <v>10</v>
      </c>
      <c r="B11" s="19" t="n">
        <v>45930</v>
      </c>
      <c r="C11" s="22" t="inlineStr">
        <is>
          <t>THANUSAR ENTERPRISES</t>
        </is>
      </c>
      <c r="D11" s="22" t="inlineStr">
        <is>
          <t>PLOT NO 4/50, ADHAR INDUSTRIAL PREMISES, SECTOR NO 10 MIDC, BHOSARI PUNE</t>
        </is>
      </c>
      <c r="E11" s="22" t="inlineStr">
        <is>
          <t>Vishnu</t>
        </is>
      </c>
      <c r="F11" s="22" t="n">
        <v>9036230620</v>
      </c>
      <c r="G11" s="20" t="inlineStr">
        <is>
          <t>Pune</t>
        </is>
      </c>
      <c r="H11" s="20" t="inlineStr">
        <is>
          <t>Maharashtra</t>
        </is>
      </c>
      <c r="I11" s="20" t="n">
        <v>150</v>
      </c>
      <c r="J11" s="20" t="inlineStr">
        <is>
          <t>Delivered</t>
        </is>
      </c>
      <c r="K11" s="19" t="n">
        <v>45931</v>
      </c>
      <c r="L11" s="31">
        <f>K11-B11</f>
        <v/>
      </c>
      <c r="M11" s="21" t="n">
        <v>10</v>
      </c>
      <c r="N11" s="21">
        <f>I11*M11</f>
        <v/>
      </c>
      <c r="O11" s="109" t="n"/>
      <c r="P11" s="20" t="n"/>
    </row>
    <row r="12" ht="27.6" customHeight="1">
      <c r="A12" s="37" t="n">
        <v>11</v>
      </c>
      <c r="B12" s="19" t="n">
        <v>45930</v>
      </c>
      <c r="C12" s="22" t="inlineStr">
        <is>
          <t>Sai Associates</t>
        </is>
      </c>
      <c r="D12" s="22" t="inlineStr">
        <is>
          <t>M-24, ADDITIONAL MIDC, KODOLI, SATARA 415004,</t>
        </is>
      </c>
      <c r="E12" s="22" t="inlineStr">
        <is>
          <t>Sachin</t>
        </is>
      </c>
      <c r="F12" s="22" t="n">
        <v>9921594837</v>
      </c>
      <c r="G12" s="20" t="inlineStr">
        <is>
          <t>Satara</t>
        </is>
      </c>
      <c r="H12" s="20" t="inlineStr">
        <is>
          <t>Maharashtra</t>
        </is>
      </c>
      <c r="I12" s="20" t="n">
        <v>200</v>
      </c>
      <c r="J12" s="20" t="inlineStr">
        <is>
          <t>Delivered</t>
        </is>
      </c>
      <c r="K12" s="19" t="n">
        <v>45931</v>
      </c>
      <c r="L12" s="31">
        <f>K12-B12</f>
        <v/>
      </c>
      <c r="M12" s="21" t="n">
        <v>10</v>
      </c>
      <c r="N12" s="21">
        <f>I12*M12</f>
        <v/>
      </c>
      <c r="O12" s="109" t="n"/>
      <c r="P12" s="20" t="n"/>
    </row>
    <row r="13" ht="27.6" customHeight="1">
      <c r="A13" s="37" t="n">
        <v>12</v>
      </c>
      <c r="B13" s="19" t="n">
        <v>45930</v>
      </c>
      <c r="C13" s="27" t="inlineStr">
        <is>
          <t>ASTRA AUTOLITES</t>
        </is>
      </c>
      <c r="D13" s="27" t="inlineStr">
        <is>
          <t>GAT NO, 139B, ALANDI MARKAL ROAD, PUNE - 412105</t>
        </is>
      </c>
      <c r="E13" s="22" t="inlineStr">
        <is>
          <t>Flavia</t>
        </is>
      </c>
      <c r="F13" s="22" t="n">
        <v>9960525493</v>
      </c>
      <c r="G13" s="20" t="inlineStr">
        <is>
          <t>Pune</t>
        </is>
      </c>
      <c r="H13" s="20" t="inlineStr">
        <is>
          <t>Maharashtra</t>
        </is>
      </c>
      <c r="I13" s="20" t="n">
        <v>80</v>
      </c>
      <c r="J13" s="20" t="inlineStr">
        <is>
          <t>Delivered</t>
        </is>
      </c>
      <c r="K13" s="19" t="n">
        <v>45931</v>
      </c>
      <c r="L13" s="31">
        <f>K13-B13</f>
        <v/>
      </c>
      <c r="M13" s="21" t="n">
        <v>10</v>
      </c>
      <c r="N13" s="21">
        <f>I13*M13</f>
        <v/>
      </c>
      <c r="O13" s="109" t="n"/>
      <c r="P13" s="20" t="n"/>
    </row>
    <row r="14">
      <c r="A14" s="37" t="n">
        <v>13</v>
      </c>
      <c r="B14" s="19" t="n">
        <v>45931</v>
      </c>
      <c r="C14" s="27" t="inlineStr">
        <is>
          <t>AKAR AUTO INDUSTRIES LIMIT</t>
        </is>
      </c>
      <c r="D14" s="27" t="inlineStr">
        <is>
          <t>E 5 MIDC WALUJ, AURANGABAD</t>
        </is>
      </c>
      <c r="E14" s="22" t="inlineStr">
        <is>
          <t>Mushtaq</t>
        </is>
      </c>
      <c r="F14" s="22" t="n">
        <v>9890997721</v>
      </c>
      <c r="G14" s="20" t="inlineStr">
        <is>
          <t>Aurangabad</t>
        </is>
      </c>
      <c r="H14" s="20" t="inlineStr">
        <is>
          <t>Maharashtra</t>
        </is>
      </c>
      <c r="I14" s="20" t="n">
        <v>300</v>
      </c>
      <c r="J14" s="20" t="inlineStr">
        <is>
          <t>Delivered</t>
        </is>
      </c>
      <c r="K14" s="19" t="n">
        <v>45937</v>
      </c>
      <c r="L14" s="31">
        <f>K14-B14</f>
        <v/>
      </c>
      <c r="M14" s="21" t="n">
        <v>10</v>
      </c>
      <c r="N14" s="21">
        <f>I14*M14</f>
        <v/>
      </c>
      <c r="O14" s="109" t="n"/>
      <c r="P14" s="20" t="inlineStr">
        <is>
          <t>3900 paid to Velocity</t>
        </is>
      </c>
    </row>
    <row r="15" ht="41.4" customHeight="1">
      <c r="A15" s="37" t="n">
        <v>14</v>
      </c>
      <c r="B15" s="19" t="n">
        <v>45931</v>
      </c>
      <c r="C15" s="27" t="inlineStr">
        <is>
          <t>NIKY PRECISION(MULAY POLYMERS PVT. LTD.)</t>
        </is>
      </c>
      <c r="D15" s="27" t="inlineStr">
        <is>
          <t>Gat No 679/2/1 Plot No. 30/6, Chakan Alandi Road, Tal.-Khed Dist.-Pune-410501.</t>
        </is>
      </c>
      <c r="E15" s="22" t="inlineStr">
        <is>
          <t xml:space="preserve">Rajkumar </t>
        </is>
      </c>
      <c r="F15" s="22" t="n">
        <v>9156575795</v>
      </c>
      <c r="G15" s="20" t="inlineStr">
        <is>
          <t>Pune</t>
        </is>
      </c>
      <c r="H15" s="20" t="inlineStr">
        <is>
          <t>Maharashtra</t>
        </is>
      </c>
      <c r="I15" s="20" t="n">
        <v>520</v>
      </c>
      <c r="J15" s="20" t="inlineStr">
        <is>
          <t>Delivered</t>
        </is>
      </c>
      <c r="K15" s="19" t="n">
        <v>45932</v>
      </c>
      <c r="L15" s="31">
        <f>K15-B15</f>
        <v/>
      </c>
      <c r="M15" s="21" t="n">
        <v>10</v>
      </c>
      <c r="N15" s="21">
        <f>I15*M15</f>
        <v/>
      </c>
      <c r="O15" s="109" t="n"/>
      <c r="P15" s="20" t="n"/>
    </row>
    <row r="16" ht="41.4" customHeight="1">
      <c r="A16" s="29" t="n">
        <v>15</v>
      </c>
      <c r="B16" s="19" t="n">
        <v>45936</v>
      </c>
      <c r="C16" s="27" t="inlineStr">
        <is>
          <t>PREMIER SEALS INDIA PRIVATE LTD</t>
        </is>
      </c>
      <c r="D16" s="27" t="inlineStr">
        <is>
          <t>20/8, D-1 BLOCK, MIDC, CHINCHWAD, PUNE MAHARASHTRA 411019</t>
        </is>
      </c>
      <c r="E16" s="22" t="inlineStr">
        <is>
          <t xml:space="preserve">Mita </t>
        </is>
      </c>
      <c r="F16" s="22" t="n">
        <v>8956347535</v>
      </c>
      <c r="G16" s="20" t="inlineStr">
        <is>
          <t>Pune</t>
        </is>
      </c>
      <c r="H16" s="20" t="inlineStr">
        <is>
          <t>Maharashtra</t>
        </is>
      </c>
      <c r="I16" s="20" t="n">
        <v>300</v>
      </c>
      <c r="J16" s="20" t="inlineStr">
        <is>
          <t>Delivered</t>
        </is>
      </c>
      <c r="K16" s="19" t="n">
        <v>45937</v>
      </c>
      <c r="L16" s="31">
        <f>K16-B16</f>
        <v/>
      </c>
      <c r="M16" s="21" t="n">
        <v>10</v>
      </c>
      <c r="N16" s="21">
        <f>I16*M16</f>
        <v/>
      </c>
      <c r="O16" s="108" t="n">
        <v>8000</v>
      </c>
      <c r="P16" s="20" t="n"/>
    </row>
    <row r="17" ht="27.6" customHeight="1">
      <c r="A17" s="29" t="n">
        <v>16</v>
      </c>
      <c r="B17" s="19" t="n">
        <v>45936</v>
      </c>
      <c r="C17" s="27" t="inlineStr">
        <is>
          <t>FERYEZ POLYMER PVT LTD</t>
        </is>
      </c>
      <c r="D17" s="27" t="inlineStr">
        <is>
          <t>SR.NO.172, CHICHWADGAON, PUNE 411033 MAHARASHTRA</t>
        </is>
      </c>
      <c r="E17" s="22" t="inlineStr">
        <is>
          <t xml:space="preserve">Sandip </t>
        </is>
      </c>
      <c r="F17" s="22" t="n">
        <v>9503161311</v>
      </c>
      <c r="G17" s="20" t="inlineStr">
        <is>
          <t>Pune</t>
        </is>
      </c>
      <c r="H17" s="20" t="inlineStr">
        <is>
          <t>Maharashtra</t>
        </is>
      </c>
      <c r="I17" s="20" t="n">
        <v>500</v>
      </c>
      <c r="J17" s="20" t="inlineStr">
        <is>
          <t>Delivered</t>
        </is>
      </c>
      <c r="K17" s="19" t="n">
        <v>45937</v>
      </c>
      <c r="L17" s="31">
        <f>K17-B17</f>
        <v/>
      </c>
      <c r="M17" s="21" t="n">
        <v>10</v>
      </c>
      <c r="N17" s="21">
        <f>I17*M17</f>
        <v/>
      </c>
      <c r="O17" s="106" t="n"/>
      <c r="P17" s="20" t="n"/>
    </row>
    <row r="18" ht="27.6" customHeight="1">
      <c r="A18" s="29" t="n">
        <v>17</v>
      </c>
      <c r="B18" s="19" t="n">
        <v>45936</v>
      </c>
      <c r="C18" s="27" t="inlineStr">
        <is>
          <t>Perfect Cam Profile Pvt Ltd</t>
        </is>
      </c>
      <c r="D18" s="27" t="inlineStr">
        <is>
          <t>Address: Plot No S 55, Bhosari Industrial Estate, Pune - 411026</t>
        </is>
      </c>
      <c r="E18" s="22" t="inlineStr">
        <is>
          <t>Mehul Patel</t>
        </is>
      </c>
      <c r="F18" s="22" t="n">
        <v>9860040965</v>
      </c>
      <c r="G18" s="20" t="inlineStr">
        <is>
          <t>Pune</t>
        </is>
      </c>
      <c r="H18" s="20" t="inlineStr">
        <is>
          <t>Maharashtra</t>
        </is>
      </c>
      <c r="I18" s="20" t="n">
        <v>1200</v>
      </c>
      <c r="J18" s="20" t="inlineStr">
        <is>
          <t>Delivered</t>
        </is>
      </c>
      <c r="K18" s="19" t="n">
        <v>45937</v>
      </c>
      <c r="L18" s="31">
        <f>K18-B18</f>
        <v/>
      </c>
      <c r="M18" s="21" t="n">
        <v>10</v>
      </c>
      <c r="N18" s="21">
        <f>I18*M18</f>
        <v/>
      </c>
      <c r="O18" s="107" t="n"/>
      <c r="P18" s="20" t="n"/>
    </row>
    <row r="19" ht="41.4" customHeight="1">
      <c r="A19" s="29" t="n">
        <v>18</v>
      </c>
      <c r="B19" s="19" t="n">
        <v>45936</v>
      </c>
      <c r="C19" s="27" t="inlineStr">
        <is>
          <t>Star Circlips and Engineering Limited</t>
        </is>
      </c>
      <c r="D19" s="27" t="inlineStr">
        <is>
          <t>B-24, Hingna Industrial Estate, Hingna, Nagpur, Maharashtra 440016</t>
        </is>
      </c>
      <c r="E19" s="22" t="inlineStr">
        <is>
          <t>Dilip</t>
        </is>
      </c>
      <c r="F19" s="22" t="n">
        <v>9326179340</v>
      </c>
      <c r="G19" s="20" t="inlineStr">
        <is>
          <t>Nagpur</t>
        </is>
      </c>
      <c r="H19" s="20" t="inlineStr">
        <is>
          <t>Maharashtra</t>
        </is>
      </c>
      <c r="I19" s="20" t="n">
        <v>20</v>
      </c>
      <c r="J19" s="20" t="inlineStr">
        <is>
          <t>Delivered</t>
        </is>
      </c>
      <c r="K19" s="19" t="n">
        <v>45945</v>
      </c>
      <c r="L19" s="31">
        <f>K19-B19</f>
        <v/>
      </c>
      <c r="M19" s="21" t="n">
        <v>10</v>
      </c>
      <c r="N19" s="21">
        <f>I19*M19</f>
        <v/>
      </c>
      <c r="O19" s="108" t="n">
        <v>260</v>
      </c>
      <c r="P19" s="20" t="n"/>
    </row>
    <row r="20" ht="41.4" customHeight="1">
      <c r="A20" s="29" t="n">
        <v>19</v>
      </c>
      <c r="B20" s="19" t="n">
        <v>45938</v>
      </c>
      <c r="C20" s="27" t="inlineStr">
        <is>
          <t>LALIT INDUSTRIES BULIDING</t>
        </is>
      </c>
      <c r="D20" s="27" t="inlineStr">
        <is>
          <t>NO.6, GALA NO 101, MITTAL INDUSTRIES ESTATE, ANDHERI KURLA ROAD, M.V. ROAD, MUMBAI 400059</t>
        </is>
      </c>
      <c r="E20" s="20" t="inlineStr">
        <is>
          <t>Rakesh</t>
        </is>
      </c>
      <c r="F20" s="22" t="n">
        <v>7021056086</v>
      </c>
      <c r="G20" s="20" t="inlineStr">
        <is>
          <t>Mumbai</t>
        </is>
      </c>
      <c r="H20" s="20" t="inlineStr">
        <is>
          <t>Maharashtra</t>
        </is>
      </c>
      <c r="I20" s="20" t="n">
        <v>1350</v>
      </c>
      <c r="J20" s="20" t="inlineStr">
        <is>
          <t>Delivered</t>
        </is>
      </c>
      <c r="K20" s="19" t="n">
        <v>45939</v>
      </c>
      <c r="L20" s="31">
        <f>K20-B20</f>
        <v/>
      </c>
      <c r="M20" s="21" t="n">
        <v>10</v>
      </c>
      <c r="N20" s="21">
        <f>I20*M20</f>
        <v/>
      </c>
      <c r="O20" s="28">
        <f>7450+4000</f>
        <v/>
      </c>
      <c r="P20" s="20" t="n"/>
    </row>
    <row r="21">
      <c r="A21" s="29" t="n">
        <v>20</v>
      </c>
      <c r="B21" s="19" t="n">
        <v>45939</v>
      </c>
      <c r="C21" s="27" t="inlineStr">
        <is>
          <t>AKAR AUTO INDUSTRIES LIMIT</t>
        </is>
      </c>
      <c r="D21" s="27" t="inlineStr">
        <is>
          <t>E 5 MIDC WALUJ, AURANGABAD</t>
        </is>
      </c>
      <c r="E21" s="22" t="inlineStr">
        <is>
          <t>Mushtaq</t>
        </is>
      </c>
      <c r="F21" s="22" t="n">
        <v>9890997721</v>
      </c>
      <c r="G21" s="20" t="inlineStr">
        <is>
          <t>Aurangabad</t>
        </is>
      </c>
      <c r="H21" s="20" t="inlineStr">
        <is>
          <t>Maharashtra</t>
        </is>
      </c>
      <c r="I21" s="20" t="n">
        <v>880</v>
      </c>
      <c r="J21" s="20" t="inlineStr">
        <is>
          <t>Delivered</t>
        </is>
      </c>
      <c r="K21" s="19" t="n">
        <v>45941</v>
      </c>
      <c r="L21" s="31">
        <f>K21-B21</f>
        <v/>
      </c>
      <c r="M21" s="21" t="n">
        <v>10</v>
      </c>
      <c r="N21" s="21">
        <f>I21*M21</f>
        <v/>
      </c>
      <c r="O21" s="21" t="n">
        <v>8700</v>
      </c>
      <c r="P21" s="20" t="n"/>
    </row>
    <row r="22" ht="27.6" customHeight="1">
      <c r="A22" s="29" t="n">
        <v>21</v>
      </c>
      <c r="B22" s="19" t="n">
        <v>45941</v>
      </c>
      <c r="C22" s="27" t="inlineStr">
        <is>
          <t>TANISHQ PRECISION FASTENERS LLP</t>
        </is>
      </c>
      <c r="D22" s="27" t="inlineStr">
        <is>
          <t>GAT NO – 877, NIGHOJE, TAL -KHED, CHAKAN, PUNE-410501</t>
        </is>
      </c>
      <c r="E22" s="22" t="inlineStr">
        <is>
          <t>Sanjay</t>
        </is>
      </c>
      <c r="F22" s="22" t="n">
        <v>9579951621</v>
      </c>
      <c r="G22" s="20" t="inlineStr">
        <is>
          <t>Pune</t>
        </is>
      </c>
      <c r="H22" s="20" t="inlineStr">
        <is>
          <t>Maharashtra</t>
        </is>
      </c>
      <c r="I22" s="20" t="n">
        <v>40</v>
      </c>
      <c r="J22" s="20" t="inlineStr">
        <is>
          <t>Delivered</t>
        </is>
      </c>
      <c r="K22" s="19" t="n">
        <v>45942</v>
      </c>
      <c r="L22" s="31">
        <f>K22-B22</f>
        <v/>
      </c>
      <c r="M22" s="21" t="n">
        <v>10</v>
      </c>
      <c r="N22" s="21">
        <f>I22*M22</f>
        <v/>
      </c>
      <c r="O22" s="105" t="n">
        <v>8000</v>
      </c>
      <c r="P22" s="20" t="n"/>
    </row>
    <row r="23" ht="41.4" customHeight="1">
      <c r="A23" s="29" t="n">
        <v>22</v>
      </c>
      <c r="B23" s="19" t="n">
        <v>45941</v>
      </c>
      <c r="C23" s="27" t="inlineStr">
        <is>
          <t>PREMIER SEALS INDIA PRIVATE LTD</t>
        </is>
      </c>
      <c r="D23" s="27" t="inlineStr">
        <is>
          <t>20/8, D-1 BLOCK, MIDC, CHINCHWAD, PUNE MAHARASHTRA 411019</t>
        </is>
      </c>
      <c r="E23" s="22" t="inlineStr">
        <is>
          <t xml:space="preserve">Mita </t>
        </is>
      </c>
      <c r="F23" s="22" t="n">
        <v>8956347535</v>
      </c>
      <c r="G23" s="20" t="inlineStr">
        <is>
          <t>Pune</t>
        </is>
      </c>
      <c r="H23" s="20" t="inlineStr">
        <is>
          <t>Maharashtra</t>
        </is>
      </c>
      <c r="I23" s="22" t="n">
        <v>200</v>
      </c>
      <c r="J23" s="20" t="inlineStr">
        <is>
          <t>Delivered</t>
        </is>
      </c>
      <c r="K23" s="19" t="n">
        <v>45942</v>
      </c>
      <c r="L23" s="31">
        <f>K23-B23</f>
        <v/>
      </c>
      <c r="M23" s="21" t="n">
        <v>10</v>
      </c>
      <c r="N23" s="21">
        <f>I23*M23</f>
        <v/>
      </c>
      <c r="O23" s="106" t="n"/>
      <c r="P23" s="20" t="n"/>
    </row>
    <row r="24" ht="27.6" customHeight="1">
      <c r="A24" s="29" t="n">
        <v>23</v>
      </c>
      <c r="B24" s="19" t="n">
        <v>45941</v>
      </c>
      <c r="C24" s="27" t="inlineStr">
        <is>
          <t>FERYEZ POLYMER PVT LTD</t>
        </is>
      </c>
      <c r="D24" s="27" t="inlineStr">
        <is>
          <t>SR.NO.172, CHICHWADGAON, PUNE 411033</t>
        </is>
      </c>
      <c r="E24" s="22" t="inlineStr">
        <is>
          <t xml:space="preserve">Sandip </t>
        </is>
      </c>
      <c r="F24" s="22" t="n">
        <v>9503161311</v>
      </c>
      <c r="G24" s="20" t="inlineStr">
        <is>
          <t>Pune</t>
        </is>
      </c>
      <c r="H24" s="20" t="inlineStr">
        <is>
          <t>Maharashtra</t>
        </is>
      </c>
      <c r="I24" s="22" t="n">
        <v>150</v>
      </c>
      <c r="J24" s="20" t="inlineStr">
        <is>
          <t>Delivered</t>
        </is>
      </c>
      <c r="K24" s="19" t="n">
        <v>45942</v>
      </c>
      <c r="L24" s="31">
        <f>K24-B24</f>
        <v/>
      </c>
      <c r="M24" s="21" t="n">
        <v>10</v>
      </c>
      <c r="N24" s="21">
        <f>I24*M24</f>
        <v/>
      </c>
      <c r="O24" s="106" t="n"/>
      <c r="P24" s="20" t="n"/>
    </row>
    <row r="25" ht="41.4" customHeight="1">
      <c r="A25" s="29" t="n">
        <v>24</v>
      </c>
      <c r="B25" s="19" t="n">
        <v>45941</v>
      </c>
      <c r="C25" s="22" t="inlineStr">
        <is>
          <t>THANUSAR ENTERPRISES</t>
        </is>
      </c>
      <c r="D25" s="22" t="inlineStr">
        <is>
          <t>PLOT NO 4/50, ADHAR INDUSTRIAL PREMISES, SECTOR NO 10 MIDC, BHOSARI PUNE</t>
        </is>
      </c>
      <c r="E25" s="22" t="inlineStr">
        <is>
          <t>Vishnu</t>
        </is>
      </c>
      <c r="F25" s="22" t="n">
        <v>9036230620</v>
      </c>
      <c r="G25" s="20" t="inlineStr">
        <is>
          <t>Pune</t>
        </is>
      </c>
      <c r="H25" s="20" t="inlineStr">
        <is>
          <t>Maharashtra</t>
        </is>
      </c>
      <c r="I25" s="20" t="n">
        <v>100</v>
      </c>
      <c r="J25" s="20" t="inlineStr">
        <is>
          <t>Delivered</t>
        </is>
      </c>
      <c r="K25" s="19" t="n">
        <v>45942</v>
      </c>
      <c r="L25" s="31">
        <f>K25-B25</f>
        <v/>
      </c>
      <c r="M25" s="21" t="n">
        <v>10</v>
      </c>
      <c r="N25" s="21">
        <f>I25*M25</f>
        <v/>
      </c>
      <c r="O25" s="107" t="n"/>
      <c r="P25" s="20" t="n"/>
    </row>
    <row r="26" ht="27.6" customHeight="1">
      <c r="A26" s="29" t="n">
        <v>25</v>
      </c>
      <c r="B26" s="19" t="n">
        <v>45941</v>
      </c>
      <c r="C26" s="22" t="inlineStr">
        <is>
          <t>Sai Associates</t>
        </is>
      </c>
      <c r="D26" s="22" t="inlineStr">
        <is>
          <t>M-24, ADDITIONAL MIDC, KODOLI, SATARA 415004,</t>
        </is>
      </c>
      <c r="E26" s="22" t="inlineStr">
        <is>
          <t>Sachin</t>
        </is>
      </c>
      <c r="F26" s="22" t="n">
        <v>9921594837</v>
      </c>
      <c r="G26" s="20" t="inlineStr">
        <is>
          <t>Satara</t>
        </is>
      </c>
      <c r="H26" s="20" t="inlineStr">
        <is>
          <t>Maharashtra</t>
        </is>
      </c>
      <c r="I26" s="20" t="n">
        <v>80</v>
      </c>
      <c r="J26" s="20" t="inlineStr">
        <is>
          <t>Delivered</t>
        </is>
      </c>
      <c r="K26" s="19" t="n">
        <v>45946</v>
      </c>
      <c r="L26" s="31">
        <f>K26-B26</f>
        <v/>
      </c>
      <c r="M26" s="21" t="n">
        <v>10</v>
      </c>
      <c r="N26" s="21">
        <f>I26*M26</f>
        <v/>
      </c>
      <c r="O26" s="21" t="n">
        <v>1040</v>
      </c>
      <c r="P26" s="20" t="n"/>
    </row>
    <row r="27" ht="41.4" customHeight="1">
      <c r="A27" s="29" t="n">
        <v>26</v>
      </c>
      <c r="B27" s="19" t="n">
        <v>45941</v>
      </c>
      <c r="C27" s="27" t="inlineStr">
        <is>
          <t>LALIT INDUSTRIES BULIDING</t>
        </is>
      </c>
      <c r="D27" s="27" t="inlineStr">
        <is>
          <t>NO.6, GALA NO 101, MITTAL INDUSTRIES ESTATE, ANDHERI KURLA ROAD, M.V. ROAD, MUMBAI 400059</t>
        </is>
      </c>
      <c r="E27" s="18" t="inlineStr">
        <is>
          <t>Rakesh</t>
        </is>
      </c>
      <c r="F27" s="22" t="n">
        <v>7021056086</v>
      </c>
      <c r="G27" s="20" t="inlineStr">
        <is>
          <t>Mumbai</t>
        </is>
      </c>
      <c r="H27" s="20" t="inlineStr">
        <is>
          <t>Maharashtra</t>
        </is>
      </c>
      <c r="I27" s="20" t="n">
        <v>50</v>
      </c>
      <c r="J27" s="20" t="inlineStr">
        <is>
          <t>Delivered</t>
        </is>
      </c>
      <c r="K27" s="19" t="n">
        <v>45945</v>
      </c>
      <c r="L27" s="31">
        <f>K27-B27</f>
        <v/>
      </c>
      <c r="M27" s="21" t="n">
        <v>10</v>
      </c>
      <c r="N27" s="21">
        <f>I27*M27</f>
        <v/>
      </c>
      <c r="O27" s="21" t="n">
        <v>650</v>
      </c>
      <c r="P27" s="20" t="n"/>
    </row>
    <row r="28" ht="41.4" customHeight="1">
      <c r="A28" s="29" t="n">
        <v>27</v>
      </c>
      <c r="B28" s="19" t="n">
        <v>45943</v>
      </c>
      <c r="C28" s="27" t="inlineStr">
        <is>
          <t>NIKY PRECISION(MULAY POLYMERS PVT. LTD.)</t>
        </is>
      </c>
      <c r="D28" s="27" t="inlineStr">
        <is>
          <t>Gat No 679/2/1 Plot No. 30/6, Chakan Alandi Road, Tal.-Khed Dist.-Pune-410501.</t>
        </is>
      </c>
      <c r="E28" s="22" t="inlineStr">
        <is>
          <t xml:space="preserve">Rajkumar </t>
        </is>
      </c>
      <c r="F28" s="22" t="n">
        <v>9156575795</v>
      </c>
      <c r="G28" s="20" t="inlineStr">
        <is>
          <t>Pune</t>
        </is>
      </c>
      <c r="H28" s="20" t="inlineStr">
        <is>
          <t>Maharashtra</t>
        </is>
      </c>
      <c r="I28" s="20" t="n">
        <v>300</v>
      </c>
      <c r="J28" s="20" t="inlineStr">
        <is>
          <t>Delivered</t>
        </is>
      </c>
      <c r="K28" s="19" t="n">
        <v>45943</v>
      </c>
      <c r="L28" s="31">
        <f>K28-B28</f>
        <v/>
      </c>
      <c r="M28" s="21" t="n">
        <v>10</v>
      </c>
      <c r="N28" s="21">
        <f>I28*M28</f>
        <v/>
      </c>
      <c r="O28" s="109" t="n">
        <v>4000</v>
      </c>
      <c r="P28" s="20" t="n"/>
    </row>
    <row r="29" ht="27.6" customHeight="1">
      <c r="A29" s="29" t="n">
        <v>28</v>
      </c>
      <c r="B29" s="19" t="n">
        <v>45943</v>
      </c>
      <c r="C29" s="27" t="inlineStr">
        <is>
          <t>ASTRA AUTOLITES</t>
        </is>
      </c>
      <c r="D29" s="27" t="inlineStr">
        <is>
          <t>GAT NO, 139B, ALANDI MARKAL ROAD, PUNE - 412105</t>
        </is>
      </c>
      <c r="E29" s="22" t="inlineStr">
        <is>
          <t>Flavia</t>
        </is>
      </c>
      <c r="F29" s="22" t="n">
        <v>9960525493</v>
      </c>
      <c r="G29" s="20" t="inlineStr">
        <is>
          <t>Pune</t>
        </is>
      </c>
      <c r="H29" s="20" t="inlineStr">
        <is>
          <t>Maharashtra</t>
        </is>
      </c>
      <c r="I29" s="20" t="n">
        <v>50</v>
      </c>
      <c r="J29" s="20" t="inlineStr">
        <is>
          <t>Delivered</t>
        </is>
      </c>
      <c r="K29" s="19" t="n">
        <v>45943</v>
      </c>
      <c r="L29" s="31">
        <f>K29-B29</f>
        <v/>
      </c>
      <c r="M29" s="21" t="n">
        <v>10</v>
      </c>
      <c r="N29" s="21">
        <f>I29*M29</f>
        <v/>
      </c>
      <c r="O29" s="107" t="n"/>
      <c r="P29" s="20" t="inlineStr">
        <is>
          <t xml:space="preserve"> </t>
        </is>
      </c>
    </row>
    <row r="30" ht="27.6" customHeight="1">
      <c r="A30" s="29" t="n">
        <v>29</v>
      </c>
      <c r="B30" s="19" t="n">
        <v>45944</v>
      </c>
      <c r="C30" s="27" t="inlineStr">
        <is>
          <t>FERYEZ POLYMER PVT LTD</t>
        </is>
      </c>
      <c r="D30" s="27" t="inlineStr">
        <is>
          <t>SR.NO.172, CHICHWADGAON, PUNE 411033 MAHARASHTRA</t>
        </is>
      </c>
      <c r="E30" s="22" t="inlineStr">
        <is>
          <t xml:space="preserve">Sandip </t>
        </is>
      </c>
      <c r="F30" s="22" t="n">
        <v>9503161311</v>
      </c>
      <c r="G30" s="20" t="inlineStr">
        <is>
          <t>Pune</t>
        </is>
      </c>
      <c r="H30" s="20" t="inlineStr">
        <is>
          <t>Maharashtra</t>
        </is>
      </c>
      <c r="I30" s="20" t="n">
        <v>700</v>
      </c>
      <c r="J30" s="20" t="inlineStr">
        <is>
          <t>Delivered</t>
        </is>
      </c>
      <c r="K30" s="19" t="n">
        <v>45945</v>
      </c>
      <c r="L30" s="31">
        <f>K30-B30</f>
        <v/>
      </c>
      <c r="M30" s="21" t="n">
        <v>10</v>
      </c>
      <c r="N30" s="21">
        <f>I30*M30</f>
        <v/>
      </c>
      <c r="O30" s="105" t="n">
        <v>8000</v>
      </c>
      <c r="P30" s="20" t="n"/>
    </row>
    <row r="31" ht="41.4" customHeight="1">
      <c r="A31" s="29" t="n">
        <v>30</v>
      </c>
      <c r="B31" s="19" t="n">
        <v>45944</v>
      </c>
      <c r="C31" s="27" t="inlineStr">
        <is>
          <t>THANUSAR ENTERPRISES</t>
        </is>
      </c>
      <c r="D31" s="27" t="inlineStr">
        <is>
          <t xml:space="preserve">PLOT NO 4/50, ADHAR INDUSTRIAL PREMISES, SECTOR NO 10 MIDC, BHOSARI </t>
        </is>
      </c>
      <c r="E31" s="22" t="inlineStr">
        <is>
          <t>Vishnu</t>
        </is>
      </c>
      <c r="F31" s="22" t="inlineStr">
        <is>
          <t>90362 30620</t>
        </is>
      </c>
      <c r="G31" s="20" t="inlineStr">
        <is>
          <t>Pune</t>
        </is>
      </c>
      <c r="H31" s="20" t="inlineStr">
        <is>
          <t>Maharashtra</t>
        </is>
      </c>
      <c r="I31" s="20" t="n">
        <v>100</v>
      </c>
      <c r="J31" s="20" t="inlineStr">
        <is>
          <t>Delivered</t>
        </is>
      </c>
      <c r="K31" s="19" t="n">
        <v>45945</v>
      </c>
      <c r="L31" s="31">
        <f>K31-B31</f>
        <v/>
      </c>
      <c r="M31" s="21" t="n">
        <v>10</v>
      </c>
      <c r="N31" s="21">
        <f>I31*M31</f>
        <v/>
      </c>
      <c r="O31" s="106" t="n"/>
      <c r="P31" s="20" t="n"/>
    </row>
    <row r="32" ht="41.4" customHeight="1">
      <c r="A32" s="29" t="n">
        <v>31</v>
      </c>
      <c r="B32" s="19" t="n">
        <v>45944</v>
      </c>
      <c r="C32" s="27" t="inlineStr">
        <is>
          <t>PREMIER SEALS INDIA PRIVATE LTD</t>
        </is>
      </c>
      <c r="D32" s="27" t="inlineStr">
        <is>
          <t>20/8, D-1 BLOCK, MIDC, CHINCHWAD, PUNE MAHARASHTRA 411019</t>
        </is>
      </c>
      <c r="E32" s="22" t="inlineStr">
        <is>
          <t xml:space="preserve">Mita </t>
        </is>
      </c>
      <c r="F32" s="22" t="n">
        <v>8956347535</v>
      </c>
      <c r="G32" s="20" t="inlineStr">
        <is>
          <t>Pune</t>
        </is>
      </c>
      <c r="H32" s="20" t="inlineStr">
        <is>
          <t>Maharashtra</t>
        </is>
      </c>
      <c r="I32" s="20" t="n">
        <v>100</v>
      </c>
      <c r="J32" s="20" t="inlineStr">
        <is>
          <t>Delivered</t>
        </is>
      </c>
      <c r="K32" s="19" t="n">
        <v>45945</v>
      </c>
      <c r="L32" s="31">
        <f>K32-B32</f>
        <v/>
      </c>
      <c r="M32" s="21" t="n">
        <v>10</v>
      </c>
      <c r="N32" s="21">
        <f>I32*M32</f>
        <v/>
      </c>
      <c r="O32" s="106" t="n"/>
      <c r="P32" s="20" t="n"/>
    </row>
    <row r="33" ht="41.4" customHeight="1">
      <c r="A33" s="29" t="n">
        <v>32</v>
      </c>
      <c r="B33" s="19" t="n">
        <v>45944</v>
      </c>
      <c r="C33" s="27" t="inlineStr">
        <is>
          <t>NIKY PRECISION(MULAY POLYMERS PVT. LTD.)</t>
        </is>
      </c>
      <c r="D33" s="27" t="inlineStr">
        <is>
          <t>Gat No 679/2/1 Plot No. 30/6, Chakan Alandi Road, Tal.-Khed Dist.-Pune-410501.</t>
        </is>
      </c>
      <c r="E33" s="22" t="inlineStr">
        <is>
          <t xml:space="preserve">Rajkumar </t>
        </is>
      </c>
      <c r="F33" s="22" t="n">
        <v>9156575795</v>
      </c>
      <c r="G33" s="20" t="inlineStr">
        <is>
          <t>Pune</t>
        </is>
      </c>
      <c r="H33" s="20" t="inlineStr">
        <is>
          <t>Maharashtra</t>
        </is>
      </c>
      <c r="I33" s="20" t="n">
        <v>200</v>
      </c>
      <c r="J33" s="20" t="inlineStr">
        <is>
          <t>Delivered</t>
        </is>
      </c>
      <c r="K33" s="19" t="n">
        <v>45945</v>
      </c>
      <c r="L33" s="31">
        <f>K33-B33</f>
        <v/>
      </c>
      <c r="M33" s="21" t="n">
        <v>10</v>
      </c>
      <c r="N33" s="21">
        <f>I33*M33</f>
        <v/>
      </c>
      <c r="O33" s="107" t="n"/>
      <c r="P33" s="20" t="n"/>
    </row>
    <row r="34" ht="41.4" customHeight="1">
      <c r="A34" s="29" t="n">
        <v>33</v>
      </c>
      <c r="B34" s="19" t="n">
        <v>45946</v>
      </c>
      <c r="C34" s="27" t="inlineStr">
        <is>
          <t>NIKY PRECISION ENGINEERS PRIVATE LIMITED</t>
        </is>
      </c>
      <c r="D34" s="27" t="inlineStr">
        <is>
          <t xml:space="preserve"> PLOT NO 15, GALA NO 1, 3, 5, 7, PLOT NO 9, S NO 38/2/18, 16, NARHE, PUNE-411041</t>
        </is>
      </c>
      <c r="E34" s="22" t="inlineStr">
        <is>
          <t>Jeevan</t>
        </is>
      </c>
      <c r="F34" s="22" t="n">
        <v>8446006021</v>
      </c>
      <c r="G34" s="20" t="inlineStr">
        <is>
          <t>Pune</t>
        </is>
      </c>
      <c r="H34" s="20" t="inlineStr">
        <is>
          <t>Maharashtra</t>
        </is>
      </c>
      <c r="I34" s="20" t="n">
        <v>60</v>
      </c>
      <c r="J34" s="20" t="inlineStr">
        <is>
          <t>Delivered</t>
        </is>
      </c>
      <c r="K34" s="19" t="n">
        <v>45946</v>
      </c>
      <c r="L34" s="31">
        <f>K34-B34</f>
        <v/>
      </c>
      <c r="M34" s="21" t="n">
        <v>10</v>
      </c>
      <c r="N34" s="21">
        <f>I34*M34</f>
        <v/>
      </c>
      <c r="O34" s="21" t="n">
        <v>750</v>
      </c>
      <c r="P34" s="20" t="n"/>
    </row>
    <row r="35" ht="27.6" customHeight="1">
      <c r="A35" s="29" t="n">
        <v>34</v>
      </c>
      <c r="B35" s="19" t="n">
        <v>45947</v>
      </c>
      <c r="C35" s="27" t="inlineStr">
        <is>
          <t>JAI BHAVANI MATA ENGITECH PRIVATE LIMITED</t>
        </is>
      </c>
      <c r="D35" s="27" t="inlineStr">
        <is>
          <t>681, LANDEWADI, BHOSARI . BHOSARI , PUNE – 411026</t>
        </is>
      </c>
      <c r="E35" s="22" t="inlineStr">
        <is>
          <t>Balaji</t>
        </is>
      </c>
      <c r="F35" s="22" t="n">
        <v>9765567788</v>
      </c>
      <c r="G35" s="20" t="inlineStr">
        <is>
          <t>Pune</t>
        </is>
      </c>
      <c r="H35" s="20" t="inlineStr">
        <is>
          <t>Maharashtra</t>
        </is>
      </c>
      <c r="I35" s="20" t="n">
        <v>150</v>
      </c>
      <c r="J35" s="20" t="inlineStr">
        <is>
          <t>Delivered</t>
        </is>
      </c>
      <c r="K35" s="19" t="n">
        <v>45947</v>
      </c>
      <c r="L35" s="31">
        <f>K35-B35</f>
        <v/>
      </c>
      <c r="M35" s="21" t="n">
        <v>10</v>
      </c>
      <c r="N35" s="21">
        <f>I35*M35</f>
        <v/>
      </c>
      <c r="O35" s="105" t="n">
        <v>3800</v>
      </c>
      <c r="P35" s="20" t="n"/>
    </row>
    <row r="36" ht="41.4" customHeight="1">
      <c r="A36" s="29" t="n">
        <v>35</v>
      </c>
      <c r="B36" s="19" t="n">
        <v>45947</v>
      </c>
      <c r="C36" s="27" t="inlineStr">
        <is>
          <t>THANUSAR ENTERPRISES</t>
        </is>
      </c>
      <c r="D36" s="27" t="inlineStr">
        <is>
          <t xml:space="preserve">PLOT NO 4/50, ADHAR INDUSTRIAL PREMISES, SECTOR NO 10 MIDC, BHOSARI </t>
        </is>
      </c>
      <c r="E36" s="22" t="inlineStr">
        <is>
          <t>Vishnu</t>
        </is>
      </c>
      <c r="F36" s="22" t="inlineStr">
        <is>
          <t>90362 30620</t>
        </is>
      </c>
      <c r="G36" s="20" t="inlineStr">
        <is>
          <t>Pune</t>
        </is>
      </c>
      <c r="H36" s="20" t="inlineStr">
        <is>
          <t>Maharashtra</t>
        </is>
      </c>
      <c r="I36" s="20" t="n">
        <v>100</v>
      </c>
      <c r="J36" s="20" t="inlineStr">
        <is>
          <t>Delivered</t>
        </is>
      </c>
      <c r="K36" s="19" t="n">
        <v>45947</v>
      </c>
      <c r="L36" s="31">
        <f>K36-B36</f>
        <v/>
      </c>
      <c r="M36" s="21" t="n">
        <v>10</v>
      </c>
      <c r="N36" s="21">
        <f>I36*M36</f>
        <v/>
      </c>
      <c r="O36" s="106" t="n"/>
      <c r="P36" s="20" t="n"/>
    </row>
    <row r="37">
      <c r="A37" s="29" t="n">
        <v>36</v>
      </c>
      <c r="B37" s="19" t="n">
        <v>45947</v>
      </c>
      <c r="C37" s="27" t="inlineStr">
        <is>
          <t>ASTRA AUTOLITES</t>
        </is>
      </c>
      <c r="D37" s="27" t="n"/>
      <c r="E37" s="22" t="n"/>
      <c r="F37" s="22" t="n"/>
      <c r="G37" s="20" t="inlineStr">
        <is>
          <t>Pune</t>
        </is>
      </c>
      <c r="H37" s="20" t="inlineStr">
        <is>
          <t>Maharashtra</t>
        </is>
      </c>
      <c r="I37" s="20" t="n">
        <v>10</v>
      </c>
      <c r="J37" s="20" t="inlineStr">
        <is>
          <t>Delivered</t>
        </is>
      </c>
      <c r="K37" s="19" t="n">
        <v>45947</v>
      </c>
      <c r="L37" s="31">
        <f>K37-B37</f>
        <v/>
      </c>
      <c r="M37" s="21" t="n">
        <v>10</v>
      </c>
      <c r="N37" s="21">
        <f>I37*M37</f>
        <v/>
      </c>
      <c r="O37" s="107" t="n"/>
      <c r="P37" s="20" t="n"/>
    </row>
    <row r="38" ht="27.6" customHeight="1">
      <c r="A38" s="29" t="n">
        <v>37</v>
      </c>
      <c r="B38" s="19" t="n">
        <v>45946</v>
      </c>
      <c r="C38" s="27" t="inlineStr">
        <is>
          <t>SHEKHAR BROTHERS</t>
        </is>
      </c>
      <c r="D38" s="27" t="inlineStr">
        <is>
          <t>Plot No 58, Sector 6, Faridabad, Harayana - 121006</t>
        </is>
      </c>
      <c r="E38" s="22" t="inlineStr">
        <is>
          <t>Rajiv</t>
        </is>
      </c>
      <c r="F38" s="22" t="n">
        <v>8882838488</v>
      </c>
      <c r="G38" s="20" t="inlineStr">
        <is>
          <t>Faridabad</t>
        </is>
      </c>
      <c r="H38" s="20" t="inlineStr">
        <is>
          <t>Harayana</t>
        </is>
      </c>
      <c r="I38" s="20" t="n">
        <v>3500</v>
      </c>
      <c r="J38" s="20" t="inlineStr">
        <is>
          <t>Delivered</t>
        </is>
      </c>
      <c r="K38" s="19" t="n">
        <v>45954</v>
      </c>
      <c r="L38" s="31">
        <f>K38-B38</f>
        <v/>
      </c>
      <c r="M38" s="21" t="n">
        <v>10</v>
      </c>
      <c r="N38" s="21">
        <f>I38*M38</f>
        <v/>
      </c>
      <c r="O38" s="21" t="n">
        <v>38000</v>
      </c>
      <c r="P38" s="20" t="n"/>
    </row>
    <row r="39">
      <c r="A39" s="29" t="n">
        <v>38</v>
      </c>
      <c r="B39" s="19" t="n">
        <v>45954</v>
      </c>
      <c r="C39" s="27" t="inlineStr">
        <is>
          <t>AKAR AUTO INDUSTRIES LIMIT</t>
        </is>
      </c>
      <c r="D39" s="27" t="inlineStr">
        <is>
          <t>E 5 MIDC WALUJ, AURANGABAD</t>
        </is>
      </c>
      <c r="E39" s="22" t="inlineStr">
        <is>
          <t>Mushtaq</t>
        </is>
      </c>
      <c r="F39" s="22" t="n">
        <v>9890997721</v>
      </c>
      <c r="G39" s="20" t="inlineStr">
        <is>
          <t>Aurangabad</t>
        </is>
      </c>
      <c r="H39" s="20" t="inlineStr">
        <is>
          <t>Maharashtra</t>
        </is>
      </c>
      <c r="I39" s="20" t="n">
        <v>1200</v>
      </c>
      <c r="J39" s="20" t="inlineStr">
        <is>
          <t>Delivered</t>
        </is>
      </c>
      <c r="K39" s="19" t="n">
        <v>45956</v>
      </c>
      <c r="L39" s="31">
        <f>K39-B39</f>
        <v/>
      </c>
      <c r="M39" s="21" t="n">
        <v>10</v>
      </c>
      <c r="N39" s="21">
        <f>I39*M39</f>
        <v/>
      </c>
      <c r="O39" s="21" t="n">
        <v>12000</v>
      </c>
      <c r="P39" s="20" t="n"/>
    </row>
    <row r="40" ht="41.4" customHeight="1">
      <c r="A40" s="29" t="n">
        <v>39</v>
      </c>
      <c r="B40" s="19" t="n">
        <v>45957</v>
      </c>
      <c r="C40" s="27" t="inlineStr">
        <is>
          <t>THANUSAR ENTERPRISES</t>
        </is>
      </c>
      <c r="D40" s="27" t="inlineStr">
        <is>
          <t xml:space="preserve">PLOT NO 4/50, ADHAR INDUSTRIAL PREMISES, SECTOR NO 10 MIDC, BHOSARI </t>
        </is>
      </c>
      <c r="E40" s="22" t="inlineStr">
        <is>
          <t>Vishnu</t>
        </is>
      </c>
      <c r="F40" s="22" t="inlineStr">
        <is>
          <t>90362 30620</t>
        </is>
      </c>
      <c r="G40" s="20" t="inlineStr">
        <is>
          <t>Pune</t>
        </is>
      </c>
      <c r="H40" s="20" t="inlineStr">
        <is>
          <t>Maharashtra</t>
        </is>
      </c>
      <c r="I40" s="20" t="n">
        <v>140</v>
      </c>
      <c r="J40" s="20" t="inlineStr">
        <is>
          <t>Delivered</t>
        </is>
      </c>
      <c r="K40" s="19" t="n">
        <v>45957</v>
      </c>
      <c r="L40" s="31">
        <f>K40-B40</f>
        <v/>
      </c>
      <c r="M40" s="21" t="n">
        <v>10</v>
      </c>
      <c r="N40" s="21">
        <f>I40*M40</f>
        <v/>
      </c>
      <c r="O40" s="105" t="n">
        <v>7500</v>
      </c>
      <c r="P40" s="20" t="n"/>
    </row>
    <row r="41" ht="27.6" customHeight="1">
      <c r="A41" s="29" t="n">
        <v>40</v>
      </c>
      <c r="B41" s="19" t="n">
        <v>45957</v>
      </c>
      <c r="C41" s="27" t="inlineStr">
        <is>
          <t>FERYEZ POLYMER PVT LTD</t>
        </is>
      </c>
      <c r="D41" s="27" t="inlineStr">
        <is>
          <t>SR.NO.172, CHICHWADGAON, PUNE 411033 MAHARASHTRA</t>
        </is>
      </c>
      <c r="E41" s="22" t="inlineStr">
        <is>
          <t xml:space="preserve">Sandip </t>
        </is>
      </c>
      <c r="F41" s="22" t="n">
        <v>9503161311</v>
      </c>
      <c r="G41" s="20" t="inlineStr">
        <is>
          <t>Pune</t>
        </is>
      </c>
      <c r="H41" s="20" t="inlineStr">
        <is>
          <t>Maharashtra</t>
        </is>
      </c>
      <c r="I41" s="20" t="n">
        <v>600</v>
      </c>
      <c r="J41" s="20" t="inlineStr">
        <is>
          <t>Delivered</t>
        </is>
      </c>
      <c r="K41" s="19" t="n">
        <v>45957</v>
      </c>
      <c r="L41" s="31">
        <f>K41-B41</f>
        <v/>
      </c>
      <c r="M41" s="21" t="n">
        <v>10</v>
      </c>
      <c r="N41" s="21">
        <f>I41*M41</f>
        <v/>
      </c>
      <c r="O41" s="107" t="n"/>
      <c r="P41" s="20" t="n"/>
    </row>
    <row r="42">
      <c r="A42" s="29" t="n">
        <v>41</v>
      </c>
      <c r="B42" s="19" t="n"/>
      <c r="C42" s="27" t="n"/>
      <c r="D42" s="27" t="n"/>
      <c r="E42" s="22" t="n"/>
      <c r="F42" s="22" t="n"/>
      <c r="G42" s="20" t="n"/>
      <c r="H42" s="20" t="n"/>
      <c r="I42" s="20" t="n"/>
      <c r="J42" s="20" t="n"/>
      <c r="K42" s="19" t="n"/>
      <c r="L42" s="31" t="n"/>
      <c r="M42" s="21" t="n"/>
      <c r="N42" s="21" t="n"/>
      <c r="O42" s="21" t="n"/>
      <c r="P42" s="20" t="n"/>
    </row>
    <row r="43">
      <c r="A43" s="29" t="n">
        <v>29</v>
      </c>
      <c r="B43" s="23" t="n"/>
      <c r="C43" s="24" t="n"/>
      <c r="D43" s="24" t="n"/>
      <c r="E43" s="24" t="n"/>
      <c r="F43" s="24" t="n"/>
      <c r="G43" s="23" t="n"/>
      <c r="H43" s="23" t="n"/>
      <c r="I43" s="23" t="n"/>
      <c r="J43" s="23" t="n"/>
      <c r="K43" s="23" t="n"/>
      <c r="L43" s="23" t="n"/>
      <c r="M43" s="25" t="n"/>
      <c r="N43" s="25">
        <f>SUM(N2:N42)</f>
        <v/>
      </c>
      <c r="O43" s="25">
        <f>SUM(O2:O42)</f>
        <v/>
      </c>
      <c r="P43" s="23">
        <f>SUM(P2:P33)</f>
        <v/>
      </c>
    </row>
  </sheetData>
  <autoFilter ref="A1:P43"/>
  <mergeCells count="6">
    <mergeCell ref="O30:O33"/>
    <mergeCell ref="O35:O37"/>
    <mergeCell ref="O16:O18"/>
    <mergeCell ref="O28:O29"/>
    <mergeCell ref="O40:O41"/>
    <mergeCell ref="O22:O2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topLeftCell="D1" zoomScale="90" zoomScaleNormal="90" workbookViewId="0">
      <pane ySplit="1" topLeftCell="A4" activePane="bottomLeft" state="frozen"/>
      <selection pane="bottomLeft" activeCell="T7" sqref="T7"/>
    </sheetView>
  </sheetViews>
  <sheetFormatPr baseColWidth="8" defaultColWidth="8.88671875" defaultRowHeight="13.8"/>
  <cols>
    <col width="5.33203125" customWidth="1" style="18" min="1" max="1"/>
    <col width="12.33203125" customWidth="1" style="18" min="2" max="2"/>
    <col width="25.44140625" customWidth="1" style="26" min="3" max="3"/>
    <col width="30.109375" customWidth="1" style="26" min="4" max="4"/>
    <col width="14" customWidth="1" style="26" min="5" max="5"/>
    <col width="12.33203125" customWidth="1" style="26" min="6" max="6"/>
    <col width="11.6640625" customWidth="1" style="18" min="7" max="7"/>
    <col width="12.33203125" bestFit="1" customWidth="1" style="18" min="8" max="8"/>
    <col width="9" customWidth="1" style="18" min="9" max="9"/>
    <col width="7.88671875" customWidth="1" style="18" min="10" max="10"/>
    <col width="10.44140625" bestFit="1" customWidth="1" style="18" min="11" max="11"/>
    <col width="7.33203125" customWidth="1" style="18" min="12" max="12"/>
    <col width="8.6640625" bestFit="1" customWidth="1" style="18" min="13" max="13"/>
    <col width="9" bestFit="1" customWidth="1" style="18" min="14" max="14"/>
    <col width="11.33203125" bestFit="1" customWidth="1" style="18" min="15" max="15"/>
    <col width="1.6640625" customWidth="1" style="18" min="16" max="16"/>
    <col width="12" bestFit="1" customWidth="1" style="18" min="17" max="17"/>
    <col width="13.33203125" customWidth="1" style="18" min="18" max="18"/>
    <col width="12.44140625" bestFit="1" customWidth="1" style="18" min="19" max="19"/>
    <col width="8.88671875" customWidth="1" style="18" min="20" max="20"/>
    <col width="8.88671875" customWidth="1" style="18" min="21" max="16384"/>
  </cols>
  <sheetData>
    <row r="1" ht="41.4" customFormat="1" customHeight="1" s="26">
      <c r="A1" s="32" t="inlineStr">
        <is>
          <t>#</t>
        </is>
      </c>
      <c r="B1" s="30" t="inlineStr">
        <is>
          <t>Pickup Request Date</t>
        </is>
      </c>
      <c r="C1" s="30" t="inlineStr">
        <is>
          <t>Name</t>
        </is>
      </c>
      <c r="D1" s="30" t="inlineStr">
        <is>
          <t>Address</t>
        </is>
      </c>
      <c r="E1" s="30" t="inlineStr">
        <is>
          <t>Contact Person</t>
        </is>
      </c>
      <c r="F1" s="30" t="inlineStr">
        <is>
          <t>Contact Number</t>
        </is>
      </c>
      <c r="G1" s="30" t="inlineStr">
        <is>
          <t>City</t>
        </is>
      </c>
      <c r="H1" s="30" t="inlineStr">
        <is>
          <t>State</t>
        </is>
      </c>
      <c r="I1" s="30" t="inlineStr">
        <is>
          <t>No Of Boxes</t>
        </is>
      </c>
      <c r="J1" s="30" t="inlineStr">
        <is>
          <t>Weight</t>
        </is>
      </c>
      <c r="K1" s="30" t="inlineStr">
        <is>
          <t>Status</t>
        </is>
      </c>
      <c r="L1" s="30" t="inlineStr">
        <is>
          <t xml:space="preserve">Delivered on </t>
        </is>
      </c>
      <c r="M1" s="30" t="inlineStr">
        <is>
          <t>TAT</t>
        </is>
      </c>
      <c r="N1" s="30" t="inlineStr">
        <is>
          <t>Rate</t>
        </is>
      </c>
      <c r="O1" s="30" t="inlineStr">
        <is>
          <t>Amount</t>
        </is>
      </c>
      <c r="Q1" s="30" t="inlineStr">
        <is>
          <t>Vendor</t>
        </is>
      </c>
      <c r="R1" s="30" t="inlineStr">
        <is>
          <t>Vendor Rate</t>
        </is>
      </c>
      <c r="S1" s="30" t="inlineStr">
        <is>
          <t>CNG Paid &amp; Vendor Payment</t>
        </is>
      </c>
    </row>
    <row r="2" ht="41.4" customHeight="1">
      <c r="A2" s="29" t="n">
        <v>1</v>
      </c>
      <c r="B2" s="19" t="n">
        <v>45962</v>
      </c>
      <c r="C2" s="27" t="inlineStr">
        <is>
          <t>NIKY PRECISION(MULAY POLYMERS PVT. LTD.)</t>
        </is>
      </c>
      <c r="D2" s="27" t="inlineStr">
        <is>
          <t>Gat No 679/2/1 Plot No. 30/6, Chakan Alandi Road, Tal.-Khed Dist.-Pune-410501.</t>
        </is>
      </c>
      <c r="E2" s="22" t="inlineStr">
        <is>
          <t xml:space="preserve">Rajkumar </t>
        </is>
      </c>
      <c r="F2" s="22" t="n">
        <v>9156575795</v>
      </c>
      <c r="G2" s="20" t="inlineStr">
        <is>
          <t>Pune</t>
        </is>
      </c>
      <c r="H2" s="20" t="inlineStr">
        <is>
          <t>Maharashtra</t>
        </is>
      </c>
      <c r="I2" s="20" t="n">
        <v>14</v>
      </c>
      <c r="J2" s="20" t="n">
        <v>150</v>
      </c>
      <c r="K2" s="20" t="inlineStr">
        <is>
          <t>Delivered</t>
        </is>
      </c>
      <c r="L2" s="19" t="n">
        <v>45963</v>
      </c>
      <c r="M2" s="31">
        <f>L2-B2</f>
        <v/>
      </c>
      <c r="N2" s="21" t="n">
        <v>10</v>
      </c>
      <c r="O2" s="21">
        <f>J2*N2</f>
        <v/>
      </c>
      <c r="Q2" s="20" t="inlineStr">
        <is>
          <t>Self</t>
        </is>
      </c>
      <c r="R2" s="33" t="n">
        <v>0</v>
      </c>
      <c r="S2" s="33">
        <f>J2*R2</f>
        <v/>
      </c>
    </row>
    <row r="3" ht="27.6" customHeight="1">
      <c r="A3" s="29" t="n">
        <v>2</v>
      </c>
      <c r="B3" s="19" t="n">
        <v>45962</v>
      </c>
      <c r="C3" s="27" t="inlineStr">
        <is>
          <t>TANISHQ PRECISION FASTENERS LLP</t>
        </is>
      </c>
      <c r="D3" s="27" t="inlineStr">
        <is>
          <t>GAT NO – 877, NIGHOJE, TAL -KHED, CHAKAN, PUNE-410501</t>
        </is>
      </c>
      <c r="E3" s="22" t="inlineStr">
        <is>
          <t>Sanjay</t>
        </is>
      </c>
      <c r="F3" s="22" t="n">
        <v>9579951621</v>
      </c>
      <c r="G3" s="20" t="inlineStr">
        <is>
          <t>Pune</t>
        </is>
      </c>
      <c r="H3" s="20" t="inlineStr">
        <is>
          <t>Maharashtra</t>
        </is>
      </c>
      <c r="I3" s="20" t="n">
        <v>5</v>
      </c>
      <c r="J3" s="20" t="n">
        <v>100</v>
      </c>
      <c r="K3" s="20" t="inlineStr">
        <is>
          <t>Delivered</t>
        </is>
      </c>
      <c r="L3" s="19" t="n">
        <v>45963</v>
      </c>
      <c r="M3" s="31">
        <f>L3-B3</f>
        <v/>
      </c>
      <c r="N3" s="21" t="n">
        <v>10</v>
      </c>
      <c r="O3" s="21">
        <f>J3*N3</f>
        <v/>
      </c>
      <c r="Q3" s="20" t="inlineStr">
        <is>
          <t>Self</t>
        </is>
      </c>
      <c r="R3" s="33" t="n">
        <v>0</v>
      </c>
      <c r="S3" s="33">
        <f>J3*R3</f>
        <v/>
      </c>
    </row>
    <row r="4" ht="27.6" customHeight="1">
      <c r="A4" s="29" t="n">
        <v>3</v>
      </c>
      <c r="B4" s="19" t="n">
        <v>45963</v>
      </c>
      <c r="C4" s="27" t="inlineStr">
        <is>
          <t>ASTRA AUTOLITES</t>
        </is>
      </c>
      <c r="D4" s="27" t="inlineStr">
        <is>
          <t>GAT NO, 139B, ALANDI MARKAL ROAD, PUNE - 412105</t>
        </is>
      </c>
      <c r="E4" s="22" t="inlineStr">
        <is>
          <t>Flavia</t>
        </is>
      </c>
      <c r="F4" s="22" t="n">
        <v>9960525493</v>
      </c>
      <c r="G4" s="20" t="inlineStr">
        <is>
          <t>Pune</t>
        </is>
      </c>
      <c r="H4" s="20" t="inlineStr">
        <is>
          <t>Maharashtra</t>
        </is>
      </c>
      <c r="I4" s="20" t="n">
        <v>16</v>
      </c>
      <c r="J4" s="20" t="n">
        <v>160</v>
      </c>
      <c r="K4" s="20" t="inlineStr">
        <is>
          <t>Delivered</t>
        </is>
      </c>
      <c r="L4" s="19" t="n">
        <v>45964</v>
      </c>
      <c r="M4" s="31">
        <f>L4-B4</f>
        <v/>
      </c>
      <c r="N4" s="21" t="n">
        <v>10</v>
      </c>
      <c r="O4" s="21">
        <f>J4*N4</f>
        <v/>
      </c>
      <c r="Q4" s="20" t="inlineStr">
        <is>
          <t>Self</t>
        </is>
      </c>
      <c r="R4" s="33" t="n">
        <v>0</v>
      </c>
      <c r="S4" s="33">
        <f>J4*R4</f>
        <v/>
      </c>
    </row>
    <row r="5" ht="27.6" customHeight="1">
      <c r="A5" s="29" t="n">
        <v>4</v>
      </c>
      <c r="B5" s="19" t="n">
        <v>45963</v>
      </c>
      <c r="C5" s="27" t="inlineStr">
        <is>
          <t>FERYEZ POLYMER PVT LTD</t>
        </is>
      </c>
      <c r="D5" s="27" t="inlineStr">
        <is>
          <t>SR.NO.172, CHICHWADGAON, PUNE 411033 MAHARASHTRA</t>
        </is>
      </c>
      <c r="E5" s="22" t="inlineStr">
        <is>
          <t xml:space="preserve">Sandip </t>
        </is>
      </c>
      <c r="F5" s="22" t="n">
        <v>9503161311</v>
      </c>
      <c r="G5" s="20" t="inlineStr">
        <is>
          <t>Pune</t>
        </is>
      </c>
      <c r="H5" s="20" t="inlineStr">
        <is>
          <t>Maharashtra</t>
        </is>
      </c>
      <c r="I5" s="20" t="n">
        <v>45</v>
      </c>
      <c r="J5" s="20" t="n">
        <v>920</v>
      </c>
      <c r="K5" s="20" t="inlineStr">
        <is>
          <t>Delivered</t>
        </is>
      </c>
      <c r="L5" s="19" t="n">
        <v>45964</v>
      </c>
      <c r="M5" s="31">
        <f>L5-B5</f>
        <v/>
      </c>
      <c r="N5" s="21" t="n">
        <v>10</v>
      </c>
      <c r="O5" s="21">
        <f>J5*N5</f>
        <v/>
      </c>
      <c r="Q5" s="20" t="inlineStr">
        <is>
          <t>Self</t>
        </is>
      </c>
      <c r="R5" s="33" t="n">
        <v>0</v>
      </c>
      <c r="S5" s="33">
        <f>J5*R5</f>
        <v/>
      </c>
    </row>
    <row r="6" ht="27.6" customHeight="1">
      <c r="A6" s="29" t="n">
        <v>5</v>
      </c>
      <c r="B6" s="19" t="n">
        <v>45963</v>
      </c>
      <c r="C6" s="27" t="inlineStr">
        <is>
          <t>Trimurti Enterprises</t>
        </is>
      </c>
      <c r="D6" s="27" t="inlineStr">
        <is>
          <t>D-143, Five Star, MIDC Shendra, Chatrapati Sambhaji Nagar</t>
        </is>
      </c>
      <c r="E6" s="22" t="inlineStr">
        <is>
          <t>Muktaram</t>
        </is>
      </c>
      <c r="F6" s="22" t="n">
        <v>9371794530</v>
      </c>
      <c r="G6" s="20" t="inlineStr">
        <is>
          <t>Aurangabad</t>
        </is>
      </c>
      <c r="H6" s="20" t="inlineStr">
        <is>
          <t>Maharashtra</t>
        </is>
      </c>
      <c r="I6" s="20" t="n">
        <v>27</v>
      </c>
      <c r="J6" s="20" t="n">
        <v>350</v>
      </c>
      <c r="K6" s="20" t="inlineStr">
        <is>
          <t>Delivered</t>
        </is>
      </c>
      <c r="L6" s="19" t="n">
        <v>45964</v>
      </c>
      <c r="M6" s="31">
        <f>L6-B6</f>
        <v/>
      </c>
      <c r="N6" s="21" t="n">
        <v>10</v>
      </c>
      <c r="O6" s="21">
        <f>J6*N6</f>
        <v/>
      </c>
      <c r="Q6" s="20" t="inlineStr">
        <is>
          <t>Velocity</t>
        </is>
      </c>
      <c r="R6" s="33" t="n">
        <v>13</v>
      </c>
      <c r="S6" s="33">
        <f>J6*R6</f>
        <v/>
      </c>
      <c r="T6" s="18" t="n">
        <v>4550</v>
      </c>
    </row>
    <row r="7" ht="41.4" customHeight="1">
      <c r="A7" s="29" t="n">
        <v>6</v>
      </c>
      <c r="B7" s="19" t="n">
        <v>45963</v>
      </c>
      <c r="C7" s="27" t="inlineStr">
        <is>
          <t>LALIT INDUSTRIES BULIDING</t>
        </is>
      </c>
      <c r="D7" s="27" t="inlineStr">
        <is>
          <t>NO.6, GALA NO 101, MITTAL INDUSTRIES ESTATE, ANDHERI KURLA ROAD, M.V. ROAD, MUMBAI 400059</t>
        </is>
      </c>
      <c r="E7" s="18" t="inlineStr">
        <is>
          <t>Rakesh</t>
        </is>
      </c>
      <c r="F7" s="22" t="n">
        <v>7021056086</v>
      </c>
      <c r="G7" s="20" t="inlineStr">
        <is>
          <t>Mumbai</t>
        </is>
      </c>
      <c r="H7" s="20" t="inlineStr">
        <is>
          <t>Maharashtra</t>
        </is>
      </c>
      <c r="I7" s="20" t="n">
        <v>29</v>
      </c>
      <c r="J7" s="20" t="n">
        <v>390</v>
      </c>
      <c r="K7" s="20" t="inlineStr">
        <is>
          <t>Delivered</t>
        </is>
      </c>
      <c r="L7" s="19" t="n">
        <v>45965</v>
      </c>
      <c r="M7" s="31">
        <f>L7-B7</f>
        <v/>
      </c>
      <c r="N7" s="21" t="n">
        <v>10</v>
      </c>
      <c r="O7" s="21">
        <f>J7*N7</f>
        <v/>
      </c>
      <c r="Q7" s="20" t="inlineStr">
        <is>
          <t>Velocity</t>
        </is>
      </c>
      <c r="R7" s="33" t="n">
        <v>7</v>
      </c>
      <c r="S7" s="33">
        <f>J7*R7</f>
        <v/>
      </c>
    </row>
    <row r="8" ht="41.4" customHeight="1">
      <c r="A8" s="29" t="n">
        <v>7</v>
      </c>
      <c r="B8" s="19" t="n">
        <v>45964</v>
      </c>
      <c r="C8" s="27" t="inlineStr">
        <is>
          <t>NIKY PRECISION ENGINEERS PRIVATE LIMITED</t>
        </is>
      </c>
      <c r="D8" s="27" t="inlineStr">
        <is>
          <t xml:space="preserve"> PLOT NO 15, GALA NO 1, 3, 5, 7, PLOT NO 9, S NO 38/2/18, 16, NARHE, PUNE-411041</t>
        </is>
      </c>
      <c r="E8" s="22" t="inlineStr">
        <is>
          <t>Jeevan</t>
        </is>
      </c>
      <c r="F8" s="22" t="n">
        <v>8446006021</v>
      </c>
      <c r="G8" s="20" t="inlineStr">
        <is>
          <t>Pune</t>
        </is>
      </c>
      <c r="H8" s="20" t="inlineStr">
        <is>
          <t>Maharashtra</t>
        </is>
      </c>
      <c r="I8" s="20" t="n">
        <v>39</v>
      </c>
      <c r="J8" s="20" t="n">
        <v>600</v>
      </c>
      <c r="K8" s="20" t="inlineStr">
        <is>
          <t>Delivered</t>
        </is>
      </c>
      <c r="L8" s="19" t="n">
        <v>45965</v>
      </c>
      <c r="M8" s="31">
        <f>L8-B8</f>
        <v/>
      </c>
      <c r="N8" s="21" t="n">
        <v>10</v>
      </c>
      <c r="O8" s="21">
        <f>J8*N8</f>
        <v/>
      </c>
      <c r="Q8" s="20" t="inlineStr">
        <is>
          <t>Self</t>
        </is>
      </c>
      <c r="R8" s="33" t="n">
        <v>0</v>
      </c>
      <c r="S8" s="33">
        <f>J8*R8</f>
        <v/>
      </c>
    </row>
    <row r="9" ht="41.4" customHeight="1">
      <c r="A9" s="29" t="n">
        <v>8</v>
      </c>
      <c r="B9" s="19" t="n">
        <v>45966</v>
      </c>
      <c r="C9" s="27" t="inlineStr">
        <is>
          <t>LALIT INDUSTRIES BULIDING</t>
        </is>
      </c>
      <c r="D9" s="27" t="inlineStr">
        <is>
          <t>NO.6, GALA NO 101, MITTAL INDUSTRIES ESTATE, ANDHERI KURLA ROAD, M.V. ROAD, MUMBAI 400059</t>
        </is>
      </c>
      <c r="E9" s="18" t="inlineStr">
        <is>
          <t>Rakesh</t>
        </is>
      </c>
      <c r="F9" s="22" t="n">
        <v>7021056086</v>
      </c>
      <c r="G9" s="20" t="inlineStr">
        <is>
          <t>Mumbai</t>
        </is>
      </c>
      <c r="H9" s="20" t="inlineStr">
        <is>
          <t>Maharashtra</t>
        </is>
      </c>
      <c r="I9" s="20" t="n">
        <v>29</v>
      </c>
      <c r="J9" s="20" t="n">
        <v>390</v>
      </c>
      <c r="K9" s="20" t="inlineStr">
        <is>
          <t>Delivered</t>
        </is>
      </c>
      <c r="L9" s="19" t="n">
        <v>45966</v>
      </c>
      <c r="M9" s="31">
        <f>L9-B9</f>
        <v/>
      </c>
      <c r="N9" s="21" t="n">
        <v>10</v>
      </c>
      <c r="O9" s="21">
        <f>J9*N9</f>
        <v/>
      </c>
      <c r="Q9" s="20" t="inlineStr">
        <is>
          <t>Praful</t>
        </is>
      </c>
      <c r="R9" s="33" t="n">
        <v>5</v>
      </c>
      <c r="S9" s="33">
        <f>(J9*R9)</f>
        <v/>
      </c>
    </row>
    <row r="10" ht="41.4" customHeight="1">
      <c r="A10" s="29" t="n">
        <v>9</v>
      </c>
      <c r="B10" s="19" t="n">
        <v>45966</v>
      </c>
      <c r="C10" s="22" t="inlineStr">
        <is>
          <t>THANUSAR ENTERPRISES</t>
        </is>
      </c>
      <c r="D10" s="22" t="inlineStr">
        <is>
          <t>PLOT NO 4/50, ADHAR INDUSTRIAL PREMISES, SECTOR NO 10 MIDC, BHOSARI PUNE</t>
        </is>
      </c>
      <c r="E10" s="22" t="inlineStr">
        <is>
          <t>Vishnu</t>
        </is>
      </c>
      <c r="F10" s="22" t="n">
        <v>9036230620</v>
      </c>
      <c r="G10" s="20" t="inlineStr">
        <is>
          <t>Pune</t>
        </is>
      </c>
      <c r="H10" s="20" t="inlineStr">
        <is>
          <t>Maharashtra</t>
        </is>
      </c>
      <c r="I10" s="20" t="n">
        <v>7</v>
      </c>
      <c r="J10" s="20" t="n">
        <v>150</v>
      </c>
      <c r="K10" s="20" t="inlineStr">
        <is>
          <t>Delivered</t>
        </is>
      </c>
      <c r="L10" s="19" t="n">
        <v>45969</v>
      </c>
      <c r="M10" s="31">
        <f>L10-B10</f>
        <v/>
      </c>
      <c r="N10" s="21" t="n">
        <v>10</v>
      </c>
      <c r="O10" s="21">
        <f>J10*N10</f>
        <v/>
      </c>
      <c r="Q10" s="20" t="inlineStr">
        <is>
          <t>Self</t>
        </is>
      </c>
      <c r="R10" s="33" t="n">
        <v>0</v>
      </c>
      <c r="S10" s="33">
        <f>J10*R10</f>
        <v/>
      </c>
    </row>
    <row r="11" ht="27.6" customHeight="1">
      <c r="A11" s="29" t="n">
        <v>10</v>
      </c>
      <c r="B11" s="19" t="n">
        <v>45966</v>
      </c>
      <c r="C11" s="22" t="inlineStr">
        <is>
          <t>Sai Associates</t>
        </is>
      </c>
      <c r="D11" s="22" t="inlineStr">
        <is>
          <t>M-24, ADDITIONAL MIDC, KODOLI, SATARA 415004,</t>
        </is>
      </c>
      <c r="E11" s="22" t="inlineStr">
        <is>
          <t>Sachin</t>
        </is>
      </c>
      <c r="F11" s="22" t="n">
        <v>9921594837</v>
      </c>
      <c r="G11" s="20" t="inlineStr">
        <is>
          <t>Satara</t>
        </is>
      </c>
      <c r="H11" s="20" t="inlineStr">
        <is>
          <t>Maharashtra</t>
        </is>
      </c>
      <c r="I11" s="20" t="n">
        <v>8</v>
      </c>
      <c r="J11" s="20" t="n">
        <v>120</v>
      </c>
      <c r="K11" s="20" t="inlineStr">
        <is>
          <t>Delivered</t>
        </is>
      </c>
      <c r="L11" s="19" t="n">
        <v>45969</v>
      </c>
      <c r="M11" s="31">
        <f>L11-B11</f>
        <v/>
      </c>
      <c r="N11" s="21" t="n">
        <v>10</v>
      </c>
      <c r="O11" s="21">
        <f>J11*N11</f>
        <v/>
      </c>
      <c r="Q11" s="20" t="inlineStr">
        <is>
          <t>Cargolink</t>
        </is>
      </c>
      <c r="R11" s="33" t="n">
        <v>7</v>
      </c>
      <c r="S11" s="33">
        <f>(J11*R11)+500</f>
        <v/>
      </c>
    </row>
    <row r="12">
      <c r="A12" s="29" t="n">
        <v>11</v>
      </c>
      <c r="B12" s="19" t="n">
        <v>45968</v>
      </c>
      <c r="C12" s="27" t="inlineStr">
        <is>
          <t>AKAR AUTO INDUSTRIES LIMIT</t>
        </is>
      </c>
      <c r="D12" s="27" t="inlineStr">
        <is>
          <t>E 5 MIDC WALUJ, AURANGABAD</t>
        </is>
      </c>
      <c r="E12" s="22" t="inlineStr">
        <is>
          <t>Mushtaq</t>
        </is>
      </c>
      <c r="F12" s="22" t="n">
        <v>9890997721</v>
      </c>
      <c r="G12" s="20" t="inlineStr">
        <is>
          <t>Aurangabad</t>
        </is>
      </c>
      <c r="H12" s="20" t="inlineStr">
        <is>
          <t>Maharashtra</t>
        </is>
      </c>
      <c r="I12" s="20" t="n">
        <v>76</v>
      </c>
      <c r="J12" s="20" t="n">
        <v>1492</v>
      </c>
      <c r="K12" s="20" t="inlineStr">
        <is>
          <t>Delivered</t>
        </is>
      </c>
      <c r="L12" s="19" t="n">
        <v>45969</v>
      </c>
      <c r="M12" s="31">
        <f>L12-B12</f>
        <v/>
      </c>
      <c r="N12" s="21" t="n">
        <v>10</v>
      </c>
      <c r="O12" s="21">
        <f>J12*N12</f>
        <v/>
      </c>
      <c r="Q12" s="20" t="inlineStr">
        <is>
          <t>Shiva</t>
        </is>
      </c>
      <c r="R12" s="33" t="n">
        <v>8</v>
      </c>
      <c r="S12" s="33" t="n">
        <v>10944</v>
      </c>
      <c r="T12" s="18" t="n">
        <v>13000</v>
      </c>
    </row>
    <row r="13" ht="41.4" customHeight="1">
      <c r="A13" s="29" t="n">
        <v>12</v>
      </c>
      <c r="B13" s="19" t="n">
        <v>45969</v>
      </c>
      <c r="C13" s="27" t="inlineStr">
        <is>
          <t>PREMIER SEALS INDIA PRIVATE LTD</t>
        </is>
      </c>
      <c r="D13" s="27" t="inlineStr">
        <is>
          <t>20/8, D-1 BLOCK, MIDC, CHINCHWAD, PUNE MAHARASHTRA 411019</t>
        </is>
      </c>
      <c r="E13" s="22" t="inlineStr">
        <is>
          <t xml:space="preserve">Mita </t>
        </is>
      </c>
      <c r="F13" s="22" t="n">
        <v>8956347535</v>
      </c>
      <c r="G13" s="20" t="inlineStr">
        <is>
          <t>Pune</t>
        </is>
      </c>
      <c r="H13" s="20" t="inlineStr">
        <is>
          <t>Maharashtra</t>
        </is>
      </c>
      <c r="I13" s="20" t="n">
        <v>46</v>
      </c>
      <c r="J13" s="20" t="n">
        <v>450</v>
      </c>
      <c r="K13" s="20" t="inlineStr">
        <is>
          <t>Delivered</t>
        </is>
      </c>
      <c r="L13" s="19" t="n">
        <v>45969</v>
      </c>
      <c r="M13" s="31">
        <f>L13-B13</f>
        <v/>
      </c>
      <c r="N13" s="21" t="n">
        <v>10</v>
      </c>
      <c r="O13" s="21">
        <f>J13*N13</f>
        <v/>
      </c>
      <c r="Q13" s="20" t="inlineStr">
        <is>
          <t>Self</t>
        </is>
      </c>
      <c r="R13" s="33" t="n">
        <v>0</v>
      </c>
      <c r="S13" s="33">
        <f>J13*R13</f>
        <v/>
      </c>
    </row>
    <row r="14" ht="41.4" customHeight="1">
      <c r="A14" s="29" t="n">
        <v>13</v>
      </c>
      <c r="B14" s="19" t="n">
        <v>45971</v>
      </c>
      <c r="C14" s="27" t="inlineStr">
        <is>
          <t>NIKY PRECISION(MULAY POLYMERS PVT. LTD.)</t>
        </is>
      </c>
      <c r="D14" s="27" t="inlineStr">
        <is>
          <t>Gat No 679/2/1 Plot No. 30/6, Chakan Alandi Road, Tal.-Khed Dist.-Pune-410501.</t>
        </is>
      </c>
      <c r="E14" s="22" t="inlineStr">
        <is>
          <t>Nhikil kumbar</t>
        </is>
      </c>
      <c r="F14" s="22" t="n">
        <v>8180814400</v>
      </c>
      <c r="G14" s="20" t="inlineStr">
        <is>
          <t>Pune</t>
        </is>
      </c>
      <c r="H14" s="20" t="inlineStr">
        <is>
          <t>Maharashtra</t>
        </is>
      </c>
      <c r="I14" s="20" t="n">
        <v>22</v>
      </c>
      <c r="J14" s="20" t="n">
        <v>220</v>
      </c>
      <c r="K14" s="20" t="inlineStr">
        <is>
          <t>Delivered</t>
        </is>
      </c>
      <c r="L14" s="19" t="n">
        <v>45972</v>
      </c>
      <c r="M14" s="31">
        <f>L14-B14</f>
        <v/>
      </c>
      <c r="N14" s="21" t="n">
        <v>10</v>
      </c>
      <c r="O14" s="21">
        <f>J14*N14</f>
        <v/>
      </c>
      <c r="Q14" s="20" t="inlineStr">
        <is>
          <t>Self</t>
        </is>
      </c>
      <c r="R14" s="33" t="n">
        <v>0</v>
      </c>
      <c r="S14" s="33">
        <f>J14*R14</f>
        <v/>
      </c>
    </row>
    <row r="15" ht="41.4" customHeight="1">
      <c r="A15" s="29" t="n">
        <v>14</v>
      </c>
      <c r="B15" s="19" t="n">
        <v>45971</v>
      </c>
      <c r="C15" s="22" t="inlineStr">
        <is>
          <t>THANUSAR ENTERPRISES</t>
        </is>
      </c>
      <c r="D15" s="22" t="inlineStr">
        <is>
          <t>PLOT NO 4/50, ADHAR INDUSTRIAL PREMISES, SECTOR NO 10 MIDC, BHOSARI PUNE</t>
        </is>
      </c>
      <c r="E15" s="22" t="inlineStr">
        <is>
          <t>Vishnu</t>
        </is>
      </c>
      <c r="F15" s="22" t="n">
        <v>9036230620</v>
      </c>
      <c r="G15" s="20" t="inlineStr">
        <is>
          <t>Pune</t>
        </is>
      </c>
      <c r="H15" s="20" t="inlineStr">
        <is>
          <t>Maharashtra</t>
        </is>
      </c>
      <c r="I15" s="20" t="n">
        <v>9</v>
      </c>
      <c r="J15" s="20" t="n">
        <v>223</v>
      </c>
      <c r="K15" s="20" t="inlineStr">
        <is>
          <t>Delivered</t>
        </is>
      </c>
      <c r="L15" s="19" t="n">
        <v>45972</v>
      </c>
      <c r="M15" s="31">
        <f>L15-B15</f>
        <v/>
      </c>
      <c r="N15" s="21" t="n">
        <v>10</v>
      </c>
      <c r="O15" s="21">
        <f>J15*N15</f>
        <v/>
      </c>
      <c r="Q15" s="20" t="inlineStr">
        <is>
          <t>Self</t>
        </is>
      </c>
      <c r="R15" s="33" t="n">
        <v>0</v>
      </c>
      <c r="S15" s="33">
        <f>J15*R15</f>
        <v/>
      </c>
    </row>
    <row r="16" ht="27.6" customHeight="1">
      <c r="A16" s="29" t="n">
        <v>15</v>
      </c>
      <c r="B16" s="19" t="n">
        <v>45971</v>
      </c>
      <c r="C16" s="27" t="inlineStr">
        <is>
          <t>Perfect Cam Profile Pvt Ltd</t>
        </is>
      </c>
      <c r="D16" s="27" t="inlineStr">
        <is>
          <t>Address: Plot No S 55, Bhosari Industrial Estate, Pune - 411026</t>
        </is>
      </c>
      <c r="E16" s="22" t="inlineStr">
        <is>
          <t>Mehul Patel</t>
        </is>
      </c>
      <c r="F16" s="22" t="n">
        <v>9860040965</v>
      </c>
      <c r="G16" s="20" t="inlineStr">
        <is>
          <t>Pune</t>
        </is>
      </c>
      <c r="H16" s="20" t="inlineStr">
        <is>
          <t>Maharashtra</t>
        </is>
      </c>
      <c r="I16" s="20" t="n">
        <v>84</v>
      </c>
      <c r="J16" s="20" t="n">
        <v>1275</v>
      </c>
      <c r="K16" s="20" t="inlineStr">
        <is>
          <t>Delivered</t>
        </is>
      </c>
      <c r="L16" s="19" t="n">
        <v>45973</v>
      </c>
      <c r="M16" s="31">
        <f>L16-B16</f>
        <v/>
      </c>
      <c r="N16" s="21" t="n">
        <v>10</v>
      </c>
      <c r="O16" s="21">
        <f>J16*N16</f>
        <v/>
      </c>
      <c r="Q16" s="20" t="inlineStr">
        <is>
          <t>Self</t>
        </is>
      </c>
      <c r="R16" s="33" t="n">
        <v>0</v>
      </c>
      <c r="S16" s="33">
        <f>J16*R16</f>
        <v/>
      </c>
    </row>
    <row r="17" ht="41.4" customHeight="1">
      <c r="A17" s="29" t="n">
        <v>16</v>
      </c>
      <c r="B17" s="19" t="n">
        <v>45971</v>
      </c>
      <c r="C17" s="27" t="inlineStr">
        <is>
          <t>LALIT INDUSTRIES BULIDING</t>
        </is>
      </c>
      <c r="D17" s="27" t="inlineStr">
        <is>
          <t>NO.6, GALA NO 101, MITTAL INDUSTRIES ESTATE, ANDHERI KURLA ROAD, M.V. ROAD, MUMBAI 400059</t>
        </is>
      </c>
      <c r="E17" s="18" t="inlineStr">
        <is>
          <t>Rakesh</t>
        </is>
      </c>
      <c r="F17" s="22" t="n">
        <v>7021056086</v>
      </c>
      <c r="G17" s="20" t="inlineStr">
        <is>
          <t>Mumbai</t>
        </is>
      </c>
      <c r="H17" s="20" t="inlineStr">
        <is>
          <t>Maharashtra</t>
        </is>
      </c>
      <c r="I17" s="20" t="n">
        <v>29</v>
      </c>
      <c r="J17" s="20" t="n">
        <v>2250</v>
      </c>
      <c r="K17" s="20" t="inlineStr">
        <is>
          <t>Delivered</t>
        </is>
      </c>
      <c r="L17" s="19" t="n">
        <v>45973</v>
      </c>
      <c r="M17" s="31">
        <f>L17-B17</f>
        <v/>
      </c>
      <c r="N17" s="21" t="n">
        <v>10</v>
      </c>
      <c r="O17" s="21">
        <f>J17*N17</f>
        <v/>
      </c>
      <c r="Q17" s="20" t="inlineStr">
        <is>
          <t>Praful</t>
        </is>
      </c>
      <c r="R17" s="33" t="n">
        <v>13500</v>
      </c>
      <c r="S17" s="33" t="n">
        <v>13500</v>
      </c>
    </row>
    <row r="18" ht="27.6" customHeight="1">
      <c r="A18" s="29" t="n">
        <v>17</v>
      </c>
      <c r="B18" s="19" t="n">
        <v>45971</v>
      </c>
      <c r="C18" s="27" t="inlineStr">
        <is>
          <t>TANISHQ PRECISION FASTENERS LLP</t>
        </is>
      </c>
      <c r="D18" s="27" t="inlineStr">
        <is>
          <t>GAT NO – 877, NIGHOJE, TAL -KHED, CHAKAN, PUNE-410501</t>
        </is>
      </c>
      <c r="E18" s="22" t="inlineStr">
        <is>
          <t>Sanjay</t>
        </is>
      </c>
      <c r="F18" s="22" t="n">
        <v>9579951621</v>
      </c>
      <c r="G18" s="20" t="inlineStr">
        <is>
          <t>Pune</t>
        </is>
      </c>
      <c r="H18" s="20" t="inlineStr">
        <is>
          <t>Maharashtra</t>
        </is>
      </c>
      <c r="I18" s="20" t="n">
        <v>29</v>
      </c>
      <c r="J18" s="20" t="n">
        <v>493</v>
      </c>
      <c r="K18" s="20" t="inlineStr">
        <is>
          <t>Delivered</t>
        </is>
      </c>
      <c r="L18" s="19" t="n">
        <v>45973</v>
      </c>
      <c r="M18" s="31">
        <f>L18-B18</f>
        <v/>
      </c>
      <c r="N18" s="21" t="n">
        <v>10</v>
      </c>
      <c r="O18" s="21">
        <f>J18*N18</f>
        <v/>
      </c>
      <c r="Q18" s="20" t="inlineStr">
        <is>
          <t>Self</t>
        </is>
      </c>
      <c r="R18" s="33" t="n">
        <v>0</v>
      </c>
      <c r="S18" s="33">
        <f>J18*R18</f>
        <v/>
      </c>
    </row>
    <row r="19" ht="27.6" customHeight="1">
      <c r="A19" s="29" t="n">
        <v>18</v>
      </c>
      <c r="B19" s="19" t="n">
        <v>45973</v>
      </c>
      <c r="C19" s="27" t="inlineStr">
        <is>
          <t>JAI BHAVANI MATA ENGITECH PRIVATE LIMITED</t>
        </is>
      </c>
      <c r="D19" s="27" t="inlineStr">
        <is>
          <t>681, LANDEWADI, BHOSARI . BHOSARI , PUNE – 411026</t>
        </is>
      </c>
      <c r="E19" s="22" t="inlineStr">
        <is>
          <t>Balaji</t>
        </is>
      </c>
      <c r="F19" s="22" t="n">
        <v>9765567788</v>
      </c>
      <c r="G19" s="20" t="inlineStr">
        <is>
          <t>Pune</t>
        </is>
      </c>
      <c r="H19" s="20" t="inlineStr">
        <is>
          <t>Maharashtra</t>
        </is>
      </c>
      <c r="I19" s="20" t="n">
        <v>15</v>
      </c>
      <c r="J19" s="20" t="n">
        <v>225</v>
      </c>
      <c r="K19" s="20" t="inlineStr">
        <is>
          <t>Delivered</t>
        </is>
      </c>
      <c r="L19" s="19" t="n">
        <v>45974</v>
      </c>
      <c r="M19" s="31">
        <f>L19-B19</f>
        <v/>
      </c>
      <c r="N19" s="21" t="n">
        <v>10</v>
      </c>
      <c r="O19" s="21">
        <f>J19*N19</f>
        <v/>
      </c>
      <c r="Q19" s="20" t="inlineStr">
        <is>
          <t>Porter</t>
        </is>
      </c>
      <c r="R19" s="33" t="n">
        <v>0</v>
      </c>
      <c r="S19" s="33" t="n">
        <v>1373</v>
      </c>
    </row>
    <row r="20" ht="27.6" customHeight="1">
      <c r="A20" s="29" t="n">
        <v>19</v>
      </c>
      <c r="B20" s="19" t="n">
        <v>45973</v>
      </c>
      <c r="C20" s="27" t="inlineStr">
        <is>
          <t>FERYEZ POLYMER PVT LTD</t>
        </is>
      </c>
      <c r="D20" s="27" t="inlineStr">
        <is>
          <t>SR.NO.172, CHICHWADGAON, PUNE 411033 MAHARASHTRA</t>
        </is>
      </c>
      <c r="E20" s="22" t="inlineStr">
        <is>
          <t xml:space="preserve">Sandip </t>
        </is>
      </c>
      <c r="F20" s="22" t="n">
        <v>9503161311</v>
      </c>
      <c r="G20" s="20" t="inlineStr">
        <is>
          <t>Pune</t>
        </is>
      </c>
      <c r="H20" s="20" t="inlineStr">
        <is>
          <t>Maharashtra</t>
        </is>
      </c>
      <c r="I20" s="20" t="n">
        <v>23</v>
      </c>
      <c r="J20" s="20" t="n">
        <v>658</v>
      </c>
      <c r="K20" s="20" t="inlineStr">
        <is>
          <t>Delivered</t>
        </is>
      </c>
      <c r="L20" s="19" t="n">
        <v>45974</v>
      </c>
      <c r="M20" s="31">
        <f>L20-B20</f>
        <v/>
      </c>
      <c r="N20" s="21" t="n">
        <v>10</v>
      </c>
      <c r="O20" s="21">
        <f>J20*N20</f>
        <v/>
      </c>
      <c r="Q20" s="20" t="inlineStr">
        <is>
          <t>Self</t>
        </is>
      </c>
      <c r="R20" s="33" t="n">
        <v>0</v>
      </c>
      <c r="S20" s="33">
        <f>J20*R20</f>
        <v/>
      </c>
    </row>
    <row r="21" ht="27.6" customHeight="1">
      <c r="A21" s="29" t="n">
        <v>20</v>
      </c>
      <c r="B21" s="19" t="n">
        <v>45973</v>
      </c>
      <c r="C21" s="22" t="inlineStr">
        <is>
          <t>SAI ASSOCIATES</t>
        </is>
      </c>
      <c r="D21" s="22" t="inlineStr">
        <is>
          <t>M-24, ADDITIONAL MIDC, KODOLI, SATARA 415004,</t>
        </is>
      </c>
      <c r="E21" s="22" t="inlineStr">
        <is>
          <t>Sachin</t>
        </is>
      </c>
      <c r="F21" s="22" t="n">
        <v>9921594837</v>
      </c>
      <c r="G21" s="20" t="inlineStr">
        <is>
          <t>Satara</t>
        </is>
      </c>
      <c r="H21" s="20" t="inlineStr">
        <is>
          <t>Maharashtra</t>
        </is>
      </c>
      <c r="I21" s="20" t="n">
        <v>15</v>
      </c>
      <c r="J21" s="20" t="n">
        <v>160</v>
      </c>
      <c r="K21" s="20" t="inlineStr">
        <is>
          <t>Delivered</t>
        </is>
      </c>
      <c r="L21" s="19" t="n">
        <v>45974</v>
      </c>
      <c r="M21" s="31">
        <f>L21-B21</f>
        <v/>
      </c>
      <c r="N21" s="21" t="n">
        <v>10</v>
      </c>
      <c r="O21" s="21">
        <f>J21*N21</f>
        <v/>
      </c>
      <c r="Q21" s="20" t="inlineStr">
        <is>
          <t>Shrikant</t>
        </is>
      </c>
      <c r="R21" s="33" t="n">
        <v>7</v>
      </c>
      <c r="S21" s="33">
        <f>J21*R21</f>
        <v/>
      </c>
    </row>
    <row r="22" ht="27.6" customHeight="1">
      <c r="A22" s="29" t="n">
        <v>21</v>
      </c>
      <c r="B22" s="19" t="n">
        <v>45973</v>
      </c>
      <c r="C22" s="27" t="inlineStr">
        <is>
          <t>PACOLINE INDUSTRIES PRIVATE LIMITED</t>
        </is>
      </c>
      <c r="D22" s="27" t="inlineStr">
        <is>
          <t>21 Hadapsar Indl Estate  Pune 411013</t>
        </is>
      </c>
      <c r="E22" s="22" t="n"/>
      <c r="F22" s="22" t="n"/>
      <c r="G22" s="22" t="inlineStr">
        <is>
          <t>Pune</t>
        </is>
      </c>
      <c r="H22" s="22" t="inlineStr">
        <is>
          <t>Maharashtra</t>
        </is>
      </c>
      <c r="I22" s="20" t="n">
        <v>5</v>
      </c>
      <c r="J22" s="20" t="n">
        <v>100</v>
      </c>
      <c r="K22" s="20" t="inlineStr">
        <is>
          <t>Delivered</t>
        </is>
      </c>
      <c r="L22" s="19" t="n">
        <v>45974</v>
      </c>
      <c r="M22" s="31">
        <f>L22-B22</f>
        <v/>
      </c>
      <c r="N22" s="21" t="n">
        <v>10</v>
      </c>
      <c r="O22" s="21">
        <f>J22*N22</f>
        <v/>
      </c>
      <c r="Q22" s="20" t="inlineStr">
        <is>
          <t>Porter</t>
        </is>
      </c>
      <c r="R22" s="20" t="n">
        <v>0</v>
      </c>
      <c r="S22" s="33" t="n">
        <v>499</v>
      </c>
    </row>
    <row r="23" ht="41.4" customHeight="1">
      <c r="A23" s="29" t="n">
        <v>22</v>
      </c>
      <c r="B23" s="19" t="n">
        <v>45975</v>
      </c>
      <c r="C23" s="27" t="inlineStr">
        <is>
          <t>NIKY PRECISION(MULAY POLYMERS PVT. LTD.)</t>
        </is>
      </c>
      <c r="D23" s="27" t="inlineStr">
        <is>
          <t>Gat No 679/2/1 Plot No. 30/6, Chakan Alandi Road, Tal.-Khed Dist.-Pune-410501.</t>
        </is>
      </c>
      <c r="E23" s="22" t="inlineStr">
        <is>
          <t>Nhikil kumbar</t>
        </is>
      </c>
      <c r="F23" s="22" t="n">
        <v>8180814400</v>
      </c>
      <c r="G23" s="20" t="inlineStr">
        <is>
          <t>Pune</t>
        </is>
      </c>
      <c r="H23" s="20" t="inlineStr">
        <is>
          <t>Maharashtra</t>
        </is>
      </c>
      <c r="I23" s="20" t="n">
        <v>40</v>
      </c>
      <c r="J23" s="20" t="n">
        <v>510</v>
      </c>
      <c r="K23" s="20" t="inlineStr">
        <is>
          <t>Delivered</t>
        </is>
      </c>
      <c r="L23" s="19" t="n">
        <v>45975</v>
      </c>
      <c r="M23" s="31">
        <f>L23-B23</f>
        <v/>
      </c>
      <c r="N23" s="21" t="n">
        <v>10</v>
      </c>
      <c r="O23" s="21">
        <f>J23*N23</f>
        <v/>
      </c>
      <c r="Q23" s="20" t="inlineStr">
        <is>
          <t>Self</t>
        </is>
      </c>
      <c r="R23" s="33" t="n">
        <v>0</v>
      </c>
      <c r="S23" s="33">
        <f>J23*R23</f>
        <v/>
      </c>
    </row>
    <row r="24" ht="41.4" customHeight="1">
      <c r="A24" s="29" t="n">
        <v>23</v>
      </c>
      <c r="B24" s="19" t="n">
        <v>45976</v>
      </c>
      <c r="C24" s="22" t="inlineStr">
        <is>
          <t>THANUSAR ENTERPRISES</t>
        </is>
      </c>
      <c r="D24" s="22" t="inlineStr">
        <is>
          <t>PLOT NO 4/50, ADHAR INDUSTRIAL PREMISES, SECTOR NO 10 MIDC, BHOSARI PUNE</t>
        </is>
      </c>
      <c r="E24" s="22" t="inlineStr">
        <is>
          <t>Vishnu</t>
        </is>
      </c>
      <c r="F24" s="22" t="n">
        <v>9036230620</v>
      </c>
      <c r="G24" s="20" t="inlineStr">
        <is>
          <t>Pune</t>
        </is>
      </c>
      <c r="H24" s="20" t="inlineStr">
        <is>
          <t>Maharashtra</t>
        </is>
      </c>
      <c r="I24" s="20" t="n">
        <v>8</v>
      </c>
      <c r="J24" s="20" t="n">
        <v>150</v>
      </c>
      <c r="K24" s="20" t="inlineStr">
        <is>
          <t>Delivered</t>
        </is>
      </c>
      <c r="L24" s="19" t="n">
        <v>45978</v>
      </c>
      <c r="M24" s="31">
        <f>L24-B24</f>
        <v/>
      </c>
      <c r="N24" s="21" t="n">
        <v>10</v>
      </c>
      <c r="O24" s="21">
        <f>J24*N24</f>
        <v/>
      </c>
      <c r="Q24" s="20" t="inlineStr">
        <is>
          <t>Self</t>
        </is>
      </c>
      <c r="R24" s="33" t="n">
        <v>0</v>
      </c>
      <c r="S24" s="33">
        <f>J24*R24</f>
        <v/>
      </c>
    </row>
    <row r="25" ht="41.4" customHeight="1">
      <c r="A25" s="29" t="n">
        <v>24</v>
      </c>
      <c r="B25" s="19" t="n">
        <v>45978</v>
      </c>
      <c r="C25" s="27" t="inlineStr">
        <is>
          <t>NIKY PRECISION(MULAY POLYMERS PVT. LTD.)</t>
        </is>
      </c>
      <c r="D25" s="27" t="inlineStr">
        <is>
          <t>Gat No 679/2/1 Plot No. 30/6, Chakan Alandi Road, Tal.-Khed Dist.-Pune-410501.</t>
        </is>
      </c>
      <c r="E25" s="22" t="inlineStr">
        <is>
          <t>Nhikil kumbar</t>
        </is>
      </c>
      <c r="F25" s="22" t="n">
        <v>8180814400</v>
      </c>
      <c r="G25" s="20" t="inlineStr">
        <is>
          <t>Pune</t>
        </is>
      </c>
      <c r="H25" s="20" t="inlineStr">
        <is>
          <t>Maharashtra</t>
        </is>
      </c>
      <c r="I25" s="20" t="n">
        <v>24</v>
      </c>
      <c r="J25" s="20" t="n">
        <v>240</v>
      </c>
      <c r="K25" s="20" t="inlineStr">
        <is>
          <t>Delivered</t>
        </is>
      </c>
      <c r="L25" s="19" t="n">
        <v>45978</v>
      </c>
      <c r="M25" s="31">
        <f>L25-B25</f>
        <v/>
      </c>
      <c r="N25" s="21" t="n">
        <v>10</v>
      </c>
      <c r="O25" s="21">
        <f>J25*N25</f>
        <v/>
      </c>
      <c r="Q25" s="20" t="inlineStr">
        <is>
          <t>Self</t>
        </is>
      </c>
      <c r="R25" s="33" t="n">
        <v>0</v>
      </c>
      <c r="S25" s="33">
        <f>J25*R25</f>
        <v/>
      </c>
    </row>
    <row r="26" ht="27.6" customHeight="1">
      <c r="A26" s="29" t="n">
        <v>25</v>
      </c>
      <c r="B26" s="19" t="n">
        <v>45978</v>
      </c>
      <c r="C26" s="27" t="inlineStr">
        <is>
          <t>FERYEZ POLYMER PVT LTD</t>
        </is>
      </c>
      <c r="D26" s="27" t="inlineStr">
        <is>
          <t>SR.NO.172, CHICHWADGAON, PUNE 411033 MAHARASHTRA</t>
        </is>
      </c>
      <c r="E26" s="22" t="inlineStr">
        <is>
          <t xml:space="preserve">Sandip </t>
        </is>
      </c>
      <c r="F26" s="22" t="n">
        <v>9503161311</v>
      </c>
      <c r="G26" s="20" t="inlineStr">
        <is>
          <t>Pune</t>
        </is>
      </c>
      <c r="H26" s="20" t="inlineStr">
        <is>
          <t>Maharashtra</t>
        </is>
      </c>
      <c r="I26" s="20" t="n">
        <v>30</v>
      </c>
      <c r="J26" s="20" t="n">
        <v>840</v>
      </c>
      <c r="K26" s="20" t="inlineStr">
        <is>
          <t>Delivered</t>
        </is>
      </c>
      <c r="L26" s="19" t="n">
        <v>45978</v>
      </c>
      <c r="M26" s="31">
        <f>L26-B26</f>
        <v/>
      </c>
      <c r="N26" s="21" t="n">
        <v>10</v>
      </c>
      <c r="O26" s="21">
        <f>J26*N26</f>
        <v/>
      </c>
      <c r="Q26" s="20" t="inlineStr">
        <is>
          <t>Self</t>
        </is>
      </c>
      <c r="R26" s="33" t="n">
        <v>0</v>
      </c>
      <c r="S26" s="33">
        <f>J26*R26</f>
        <v/>
      </c>
    </row>
    <row r="27">
      <c r="A27" s="29" t="n">
        <v>26</v>
      </c>
      <c r="B27" s="19" t="n">
        <v>45980</v>
      </c>
      <c r="C27" s="27" t="inlineStr">
        <is>
          <t>AKAR AUTO INDUSTRIES LIMIT</t>
        </is>
      </c>
      <c r="D27" s="27" t="inlineStr">
        <is>
          <t>E 5 MIDC WALUJ, AURANGABAD</t>
        </is>
      </c>
      <c r="E27" s="22" t="inlineStr">
        <is>
          <t>Dinesh</t>
        </is>
      </c>
      <c r="F27" s="22" t="n">
        <v>9637390267</v>
      </c>
      <c r="G27" s="20" t="inlineStr">
        <is>
          <t>Aurangabad</t>
        </is>
      </c>
      <c r="H27" s="20" t="inlineStr">
        <is>
          <t>Maharashtra</t>
        </is>
      </c>
      <c r="I27" s="20" t="n">
        <v>56</v>
      </c>
      <c r="J27" s="20" t="n">
        <v>1500</v>
      </c>
      <c r="K27" s="20" t="inlineStr">
        <is>
          <t>Delivered</t>
        </is>
      </c>
      <c r="L27" s="19" t="n">
        <v>45982</v>
      </c>
      <c r="M27" s="31">
        <f>L27-B27</f>
        <v/>
      </c>
      <c r="N27" s="21" t="n">
        <v>10</v>
      </c>
      <c r="O27" s="21">
        <f>J27*N27</f>
        <v/>
      </c>
      <c r="Q27" s="20" t="inlineStr">
        <is>
          <t>Shiva</t>
        </is>
      </c>
      <c r="R27" s="20" t="n">
        <v>0</v>
      </c>
      <c r="S27" s="33" t="n">
        <v>12000</v>
      </c>
      <c r="T27" s="18" t="n">
        <v>13000</v>
      </c>
    </row>
    <row r="28" ht="27.6" customHeight="1">
      <c r="A28" s="29" t="n">
        <v>27</v>
      </c>
      <c r="B28" s="19" t="n">
        <v>45980</v>
      </c>
      <c r="C28" s="27" t="inlineStr">
        <is>
          <t>Lumax industries</t>
        </is>
      </c>
      <c r="D28" s="27" t="inlineStr">
        <is>
          <t>D2/43-44 MIDC INDL Area Chinchwad</t>
        </is>
      </c>
      <c r="E28" s="22" t="inlineStr">
        <is>
          <t>Sandeep</t>
        </is>
      </c>
      <c r="F28" s="22" t="n">
        <v>9657704906</v>
      </c>
      <c r="G28" s="20" t="inlineStr">
        <is>
          <t>Pune</t>
        </is>
      </c>
      <c r="H28" s="20" t="inlineStr">
        <is>
          <t>Maharashtra</t>
        </is>
      </c>
      <c r="I28" s="20" t="n">
        <v>6</v>
      </c>
      <c r="J28" s="20" t="n">
        <v>100</v>
      </c>
      <c r="K28" s="20" t="inlineStr">
        <is>
          <t>Delivered</t>
        </is>
      </c>
      <c r="L28" s="19" t="n">
        <v>45982</v>
      </c>
      <c r="M28" s="31">
        <f>L28-B28</f>
        <v/>
      </c>
      <c r="N28" s="21" t="n">
        <v>10</v>
      </c>
      <c r="O28" s="21">
        <f>J28*N28</f>
        <v/>
      </c>
      <c r="Q28" s="20" t="inlineStr">
        <is>
          <t>Self</t>
        </is>
      </c>
      <c r="R28" s="20" t="n">
        <v>0</v>
      </c>
      <c r="S28" s="33">
        <f>J28*R28</f>
        <v/>
      </c>
    </row>
    <row r="29" ht="41.4" customHeight="1">
      <c r="A29" s="29" t="n">
        <v>28</v>
      </c>
      <c r="B29" s="19" t="n">
        <v>45980</v>
      </c>
      <c r="C29" s="27" t="inlineStr">
        <is>
          <t>NIKY PRECISION ENGINEERS PRIVATE LIMITED</t>
        </is>
      </c>
      <c r="D29" s="27" t="inlineStr">
        <is>
          <t xml:space="preserve"> PLOT NO 15, GALA NO 1, 3, 5, 7, PLOT NO 9, S NO 38/2/18, 16, NARHE, PUNE-411041</t>
        </is>
      </c>
      <c r="E29" s="22" t="inlineStr">
        <is>
          <t>Jeevan</t>
        </is>
      </c>
      <c r="F29" s="22" t="n">
        <v>8446006021</v>
      </c>
      <c r="G29" s="20" t="inlineStr">
        <is>
          <t>Pune</t>
        </is>
      </c>
      <c r="H29" s="20" t="inlineStr">
        <is>
          <t>Maharashtra</t>
        </is>
      </c>
      <c r="I29" s="20" t="n">
        <v>27</v>
      </c>
      <c r="J29" s="20" t="n">
        <v>270</v>
      </c>
      <c r="K29" s="20" t="inlineStr">
        <is>
          <t>Delivered</t>
        </is>
      </c>
      <c r="L29" s="19" t="n">
        <v>45982</v>
      </c>
      <c r="M29" s="31">
        <f>L29-B29</f>
        <v/>
      </c>
      <c r="N29" s="21" t="n">
        <v>10</v>
      </c>
      <c r="O29" s="21">
        <f>J29*N29</f>
        <v/>
      </c>
      <c r="Q29" s="20" t="inlineStr">
        <is>
          <t>Self</t>
        </is>
      </c>
      <c r="R29" s="20" t="n">
        <v>0</v>
      </c>
      <c r="S29" s="33">
        <f>J29*R29</f>
        <v/>
      </c>
    </row>
    <row r="30" ht="27.6" customHeight="1">
      <c r="A30" s="29" t="n">
        <v>29</v>
      </c>
      <c r="B30" s="19" t="n">
        <v>45980</v>
      </c>
      <c r="C30" s="27" t="inlineStr">
        <is>
          <t>Trimurti Enterprises</t>
        </is>
      </c>
      <c r="D30" s="27" t="inlineStr">
        <is>
          <t>D-143, Five Star, MIDC Shendra, Chatrapati Sambhaji Nagar</t>
        </is>
      </c>
      <c r="E30" s="22" t="inlineStr">
        <is>
          <t>Muktaram</t>
        </is>
      </c>
      <c r="F30" s="22" t="n">
        <v>9371794530</v>
      </c>
      <c r="G30" s="20" t="inlineStr">
        <is>
          <t>Aurangabad</t>
        </is>
      </c>
      <c r="H30" s="20" t="inlineStr">
        <is>
          <t>Maharashtra</t>
        </is>
      </c>
      <c r="I30" s="20" t="n">
        <v>56</v>
      </c>
      <c r="J30" s="20" t="n">
        <v>1120</v>
      </c>
      <c r="K30" s="20" t="inlineStr">
        <is>
          <t>Delivered</t>
        </is>
      </c>
      <c r="L30" s="19" t="n">
        <v>45982</v>
      </c>
      <c r="M30" s="31">
        <f>L30-B30</f>
        <v/>
      </c>
      <c r="N30" s="21" t="n">
        <v>10</v>
      </c>
      <c r="O30" s="21">
        <f>J30*N30</f>
        <v/>
      </c>
      <c r="Q30" s="20" t="inlineStr">
        <is>
          <t>Shiva</t>
        </is>
      </c>
      <c r="R30" s="20" t="n">
        <v>0</v>
      </c>
      <c r="S30" s="33" t="n">
        <v>6500</v>
      </c>
      <c r="T30" s="18" t="n">
        <v>7500</v>
      </c>
    </row>
    <row r="31" ht="41.4" customHeight="1">
      <c r="A31" s="29" t="n">
        <v>30</v>
      </c>
      <c r="B31" s="19" t="n">
        <v>45981</v>
      </c>
      <c r="C31" s="27" t="inlineStr">
        <is>
          <t>PREMIER SEALS INDIA PRIVATE LTD</t>
        </is>
      </c>
      <c r="D31" s="27" t="inlineStr">
        <is>
          <t>20/8, D-1 BLOCK, MIDC, CHINCHWAD, PUNE MAHARASHTRA 411019</t>
        </is>
      </c>
      <c r="E31" s="22" t="inlineStr">
        <is>
          <t xml:space="preserve">Mita </t>
        </is>
      </c>
      <c r="F31" s="22" t="n">
        <v>8956347535</v>
      </c>
      <c r="G31" s="20" t="inlineStr">
        <is>
          <t>Pune</t>
        </is>
      </c>
      <c r="H31" s="20" t="inlineStr">
        <is>
          <t>Maharashtra</t>
        </is>
      </c>
      <c r="I31" s="20" t="n">
        <v>56</v>
      </c>
      <c r="J31" s="20" t="n">
        <v>560</v>
      </c>
      <c r="K31" s="20" t="inlineStr">
        <is>
          <t>Delivered</t>
        </is>
      </c>
      <c r="L31" s="19" t="n">
        <v>45982</v>
      </c>
      <c r="M31" s="31">
        <f>L31-B31</f>
        <v/>
      </c>
      <c r="N31" s="21" t="n">
        <v>10</v>
      </c>
      <c r="O31" s="21">
        <f>J31*N31</f>
        <v/>
      </c>
      <c r="Q31" s="20" t="inlineStr">
        <is>
          <t>Self</t>
        </is>
      </c>
      <c r="R31" s="20" t="n">
        <v>0</v>
      </c>
      <c r="S31" s="33">
        <f>J31*R31</f>
        <v/>
      </c>
    </row>
    <row r="32" ht="27.6" customHeight="1">
      <c r="A32" s="29" t="n">
        <v>31</v>
      </c>
      <c r="B32" s="19" t="n">
        <v>45985</v>
      </c>
      <c r="C32" s="27" t="inlineStr">
        <is>
          <t>FERYEZ POLYMER PVT LTD</t>
        </is>
      </c>
      <c r="D32" s="27" t="inlineStr">
        <is>
          <t>SR.NO.172, CHICHWADGAON, PUNE 411033 MAHARASHTRA</t>
        </is>
      </c>
      <c r="E32" s="22" t="inlineStr">
        <is>
          <t xml:space="preserve">Sandip </t>
        </is>
      </c>
      <c r="F32" s="22" t="n">
        <v>9503161311</v>
      </c>
      <c r="G32" s="20" t="inlineStr">
        <is>
          <t>Pune</t>
        </is>
      </c>
      <c r="H32" s="20" t="inlineStr">
        <is>
          <t>Maharashtra</t>
        </is>
      </c>
      <c r="I32" s="20" t="n">
        <v>42</v>
      </c>
      <c r="J32" s="20" t="n">
        <v>821</v>
      </c>
      <c r="K32" s="20" t="inlineStr">
        <is>
          <t>Delivered</t>
        </is>
      </c>
      <c r="L32" s="19" t="n">
        <v>45985</v>
      </c>
      <c r="M32" s="31">
        <f>L32-B32</f>
        <v/>
      </c>
      <c r="N32" s="21" t="n">
        <v>10</v>
      </c>
      <c r="O32" s="21">
        <f>J32*N32</f>
        <v/>
      </c>
      <c r="Q32" s="20" t="inlineStr">
        <is>
          <t>Self</t>
        </is>
      </c>
      <c r="R32" s="20" t="n">
        <v>0</v>
      </c>
      <c r="S32" s="33">
        <f>J32*R32</f>
        <v/>
      </c>
    </row>
    <row r="33" ht="27.6" customHeight="1">
      <c r="A33" s="29" t="n">
        <v>32</v>
      </c>
      <c r="B33" s="19" t="n">
        <v>45985</v>
      </c>
      <c r="C33" s="27" t="inlineStr">
        <is>
          <t>Trimurti Enterprises</t>
        </is>
      </c>
      <c r="D33" s="27" t="inlineStr">
        <is>
          <t>D-143, Five Star, MIDC Shendra, Chatrapati Sambhaji Nagar</t>
        </is>
      </c>
      <c r="E33" s="22" t="inlineStr">
        <is>
          <t>Muktaram</t>
        </is>
      </c>
      <c r="F33" s="22" t="n">
        <v>9371794530</v>
      </c>
      <c r="G33" s="20" t="inlineStr">
        <is>
          <t>Aurangabad</t>
        </is>
      </c>
      <c r="H33" s="20" t="inlineStr">
        <is>
          <t>Maharashtra</t>
        </is>
      </c>
      <c r="I33" s="20" t="n">
        <v>59</v>
      </c>
      <c r="J33" s="20" t="n">
        <v>1180</v>
      </c>
      <c r="K33" s="20" t="inlineStr">
        <is>
          <t>Delivered</t>
        </is>
      </c>
      <c r="L33" s="19" t="n">
        <v>45986</v>
      </c>
      <c r="M33" s="31">
        <f>L33-B33</f>
        <v/>
      </c>
      <c r="N33" s="21" t="n">
        <v>10</v>
      </c>
      <c r="O33" s="21">
        <f>J33*N33</f>
        <v/>
      </c>
      <c r="Q33" s="20" t="inlineStr">
        <is>
          <t>Shiva</t>
        </is>
      </c>
      <c r="R33" s="20" t="n">
        <v>0</v>
      </c>
      <c r="S33" s="33" t="n">
        <v>6500</v>
      </c>
      <c r="T33" s="18" t="n">
        <v>7500</v>
      </c>
    </row>
    <row r="34" ht="41.4" customHeight="1">
      <c r="A34" s="29" t="n">
        <v>33</v>
      </c>
      <c r="B34" s="19" t="n">
        <v>45986</v>
      </c>
      <c r="C34" s="27" t="inlineStr">
        <is>
          <t>NIKY PRECISION(MULAY POLYMERS PVT. LTD.)</t>
        </is>
      </c>
      <c r="D34" s="27" t="inlineStr">
        <is>
          <t>Gat No 679/2/1 Plot No. 30/6, Chakan Alandi Road, Tal.-Khed Dist.-Pune-410501.</t>
        </is>
      </c>
      <c r="E34" s="22" t="inlineStr">
        <is>
          <t>Nhikil kumbar</t>
        </is>
      </c>
      <c r="F34" s="22" t="n">
        <v>8180814400</v>
      </c>
      <c r="G34" s="20" t="inlineStr">
        <is>
          <t>Pune</t>
        </is>
      </c>
      <c r="H34" s="20" t="inlineStr">
        <is>
          <t>Maharashtra</t>
        </is>
      </c>
      <c r="I34" s="20" t="n">
        <v>46</v>
      </c>
      <c r="J34" s="20" t="n">
        <v>650</v>
      </c>
      <c r="K34" s="20" t="inlineStr">
        <is>
          <t>Delivered</t>
        </is>
      </c>
      <c r="L34" s="19" t="n">
        <v>45986</v>
      </c>
      <c r="M34" s="31">
        <f>L34-B34</f>
        <v/>
      </c>
      <c r="N34" s="21" t="n">
        <v>10</v>
      </c>
      <c r="O34" s="21">
        <f>J34*N34</f>
        <v/>
      </c>
      <c r="Q34" s="20" t="inlineStr">
        <is>
          <t>Self</t>
        </is>
      </c>
      <c r="R34" s="20" t="n">
        <v>0</v>
      </c>
      <c r="S34" s="33">
        <f>J34*R34</f>
        <v/>
      </c>
    </row>
    <row r="35" ht="27.6" customHeight="1">
      <c r="A35" s="29" t="n">
        <v>34</v>
      </c>
      <c r="B35" s="19" t="n">
        <v>45989</v>
      </c>
      <c r="C35" s="27" t="inlineStr">
        <is>
          <t>Trimurti Enterprises</t>
        </is>
      </c>
      <c r="D35" s="27" t="inlineStr">
        <is>
          <t>D-143, Five Star, MIDC Shendra, Chatrapati Sambhaji Nagar</t>
        </is>
      </c>
      <c r="E35" s="22" t="inlineStr">
        <is>
          <t>Muktaram</t>
        </is>
      </c>
      <c r="F35" s="22" t="n">
        <v>9371794530</v>
      </c>
      <c r="G35" s="20" t="inlineStr">
        <is>
          <t>Aurangabad</t>
        </is>
      </c>
      <c r="H35" s="20" t="inlineStr">
        <is>
          <t>Maharashtra</t>
        </is>
      </c>
      <c r="I35" s="20" t="n">
        <v>168</v>
      </c>
      <c r="J35" s="20" t="n">
        <v>3024</v>
      </c>
      <c r="K35" s="20" t="inlineStr">
        <is>
          <t>Delivered</t>
        </is>
      </c>
      <c r="L35" s="19" t="n">
        <v>45989</v>
      </c>
      <c r="M35" s="31">
        <f>L35-B35</f>
        <v/>
      </c>
      <c r="N35" s="21" t="n">
        <v>10</v>
      </c>
      <c r="O35" s="21">
        <f>J35*N35</f>
        <v/>
      </c>
      <c r="Q35" s="20" t="inlineStr">
        <is>
          <t>Saurabh Sabhi</t>
        </is>
      </c>
      <c r="R35" s="20" t="n">
        <v>0</v>
      </c>
      <c r="S35" s="33" t="n">
        <v>10000</v>
      </c>
      <c r="T35" s="18" t="n">
        <v>13000</v>
      </c>
    </row>
    <row r="36" ht="27.6" customHeight="1">
      <c r="A36" s="29" t="n">
        <v>35</v>
      </c>
      <c r="B36" s="19" t="n">
        <v>45990</v>
      </c>
      <c r="C36" s="27" t="inlineStr">
        <is>
          <t>Trimurti Enterprises</t>
        </is>
      </c>
      <c r="D36" s="27" t="inlineStr">
        <is>
          <t>D-143, Five Star, MIDC Shendra, Chatrapati Sambhaji Nagar</t>
        </is>
      </c>
      <c r="E36" s="22" t="inlineStr">
        <is>
          <t>Muktaram</t>
        </is>
      </c>
      <c r="F36" s="22" t="n">
        <v>9371794530</v>
      </c>
      <c r="G36" s="20" t="inlineStr">
        <is>
          <t>Aurangabad</t>
        </is>
      </c>
      <c r="H36" s="20" t="inlineStr">
        <is>
          <t>Maharashtra</t>
        </is>
      </c>
      <c r="I36" s="20" t="n">
        <v>22</v>
      </c>
      <c r="J36" s="20" t="n">
        <v>700</v>
      </c>
      <c r="K36" s="20" t="inlineStr">
        <is>
          <t>Delivered</t>
        </is>
      </c>
      <c r="L36" s="19" t="n">
        <v>45991</v>
      </c>
      <c r="M36" s="31">
        <f>L36-B36</f>
        <v/>
      </c>
      <c r="N36" s="21" t="n">
        <v>10</v>
      </c>
      <c r="O36" s="21">
        <f>J36*N36</f>
        <v/>
      </c>
      <c r="Q36" s="20" t="inlineStr">
        <is>
          <t>Self</t>
        </is>
      </c>
      <c r="R36" s="20" t="n">
        <v>0</v>
      </c>
      <c r="S36" s="33" t="n">
        <v>6500</v>
      </c>
      <c r="T36" s="18" t="n">
        <v>7500</v>
      </c>
    </row>
    <row r="39">
      <c r="R39" s="20" t="inlineStr">
        <is>
          <t>Vehicle Rent</t>
        </is>
      </c>
      <c r="S39" s="33" t="n">
        <v>30000</v>
      </c>
    </row>
    <row r="40">
      <c r="R40" s="20" t="inlineStr">
        <is>
          <t>CNG - Wk 1</t>
        </is>
      </c>
      <c r="S40" s="20" t="n">
        <v>8953</v>
      </c>
    </row>
    <row r="41">
      <c r="R41" s="20" t="inlineStr">
        <is>
          <t>CNG - Wk 2</t>
        </is>
      </c>
      <c r="S41" s="20" t="n">
        <v>11205</v>
      </c>
    </row>
    <row r="42">
      <c r="R42" s="20" t="inlineStr">
        <is>
          <t>CNG - Wk 3</t>
        </is>
      </c>
      <c r="S42" s="20" t="n">
        <v>8231</v>
      </c>
    </row>
    <row r="43">
      <c r="R43" s="20" t="inlineStr">
        <is>
          <t>CNG - Wk 4</t>
        </is>
      </c>
      <c r="S43" s="20" t="n">
        <v>5468</v>
      </c>
    </row>
    <row r="44">
      <c r="R44" s="35" t="inlineStr">
        <is>
          <t>Total Expense</t>
        </is>
      </c>
      <c r="S44" s="36">
        <f>SUM(S38:S43)</f>
        <v/>
      </c>
    </row>
    <row r="46">
      <c r="O46" s="38" t="n"/>
      <c r="R46" s="35" t="inlineStr">
        <is>
          <t>Total Profit</t>
        </is>
      </c>
      <c r="S46" s="36">
        <f>#REF!-S44</f>
        <v/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9"/>
  <sheetViews>
    <sheetView zoomScale="90" zoomScaleNormal="90" workbookViewId="0">
      <pane ySplit="1" topLeftCell="A14" activePane="bottomLeft" state="frozen"/>
      <selection pane="bottomLeft" activeCell="A18" sqref="A18"/>
    </sheetView>
  </sheetViews>
  <sheetFormatPr baseColWidth="8" defaultColWidth="8.88671875" defaultRowHeight="13.8"/>
  <cols>
    <col width="5.33203125" customWidth="1" style="18" min="1" max="1"/>
    <col width="12.33203125" customWidth="1" style="18" min="2" max="2"/>
    <col width="25.44140625" customWidth="1" style="26" min="3" max="3"/>
    <col width="33.109375" customWidth="1" style="26" min="4" max="4"/>
    <col width="14" customWidth="1" style="26" min="5" max="5"/>
    <col width="12.33203125" customWidth="1" style="26" min="6" max="6"/>
    <col width="11.6640625" customWidth="1" style="18" min="7" max="7"/>
    <col width="12.33203125" customWidth="1" style="18" min="8" max="8"/>
    <col width="9" customWidth="1" style="18" min="9" max="9"/>
    <col width="7.88671875" customWidth="1" style="18" min="10" max="10"/>
    <col width="9" customWidth="1" style="18" min="11" max="11"/>
    <col width="10.44140625" bestFit="1" customWidth="1" style="18" min="12" max="12"/>
    <col width="10.33203125" customWidth="1" style="18" min="13" max="13"/>
    <col width="8.6640625" customWidth="1" style="18" min="14" max="14"/>
    <col width="9" customWidth="1" style="18" min="15" max="15"/>
    <col width="11.33203125" bestFit="1" customWidth="1" style="18" min="16" max="16"/>
    <col width="1.88671875" customWidth="1" style="18" min="17" max="17"/>
    <col width="12" bestFit="1" customWidth="1" style="18" min="18" max="18"/>
    <col width="13.33203125" customWidth="1" style="18" min="19" max="19"/>
    <col width="12.44140625" bestFit="1" customWidth="1" style="18" min="20" max="20"/>
    <col width="20.6640625" customWidth="1" style="26" min="21" max="21"/>
    <col width="8.88671875" customWidth="1" style="18" min="22" max="22"/>
    <col width="8.88671875" customWidth="1" style="18" min="23" max="16384"/>
  </cols>
  <sheetData>
    <row r="1" ht="41.4" customFormat="1" customHeight="1" s="26">
      <c r="A1" s="32" t="inlineStr">
        <is>
          <t>#</t>
        </is>
      </c>
      <c r="B1" s="30" t="inlineStr">
        <is>
          <t>Pickup Request Date</t>
        </is>
      </c>
      <c r="C1" s="30" t="inlineStr">
        <is>
          <t>Name</t>
        </is>
      </c>
      <c r="D1" s="30" t="inlineStr">
        <is>
          <t>Address</t>
        </is>
      </c>
      <c r="E1" s="30" t="inlineStr">
        <is>
          <t>Contact Person</t>
        </is>
      </c>
      <c r="F1" s="30" t="inlineStr">
        <is>
          <t>Contact Number</t>
        </is>
      </c>
      <c r="G1" s="30" t="inlineStr">
        <is>
          <t>City</t>
        </is>
      </c>
      <c r="H1" s="30" t="inlineStr">
        <is>
          <t>State</t>
        </is>
      </c>
      <c r="I1" s="30" t="inlineStr">
        <is>
          <t>No Of Boxes</t>
        </is>
      </c>
      <c r="J1" s="30" t="inlineStr">
        <is>
          <t>Weight as per EcoFleet</t>
        </is>
      </c>
      <c r="K1" s="30" t="inlineStr">
        <is>
          <t>Weight as per Optlog</t>
        </is>
      </c>
      <c r="L1" s="30" t="inlineStr">
        <is>
          <t>Status</t>
        </is>
      </c>
      <c r="M1" s="30" t="inlineStr">
        <is>
          <t xml:space="preserve">Delivered on </t>
        </is>
      </c>
      <c r="N1" s="30" t="inlineStr">
        <is>
          <t>TAT</t>
        </is>
      </c>
      <c r="O1" s="30" t="inlineStr">
        <is>
          <t>Rate</t>
        </is>
      </c>
      <c r="P1" s="30" t="inlineStr">
        <is>
          <t>Amount</t>
        </is>
      </c>
      <c r="R1" s="30" t="inlineStr">
        <is>
          <t>Vendor</t>
        </is>
      </c>
      <c r="S1" s="30" t="inlineStr">
        <is>
          <t>Vendor Rate</t>
        </is>
      </c>
      <c r="T1" s="30" t="inlineStr">
        <is>
          <t>CNG Paid &amp; Vendor Payment</t>
        </is>
      </c>
    </row>
    <row r="2" customFormat="1" s="26">
      <c r="A2" s="29" t="n">
        <v>11</v>
      </c>
      <c r="B2" s="19" t="n">
        <v>46000</v>
      </c>
      <c r="C2" s="27" t="inlineStr">
        <is>
          <t>AKAR AUTO INDUSTRIES LIMIT</t>
        </is>
      </c>
      <c r="D2" s="27" t="inlineStr">
        <is>
          <t>E 5 MIDC WALUJ, AURANGABAD</t>
        </is>
      </c>
      <c r="E2" s="22" t="inlineStr">
        <is>
          <t>Mushtaq</t>
        </is>
      </c>
      <c r="F2" s="22" t="n">
        <v>9890997721</v>
      </c>
      <c r="G2" s="20" t="inlineStr">
        <is>
          <t>Aurangabad</t>
        </is>
      </c>
      <c r="H2" s="20" t="inlineStr">
        <is>
          <t>Maharashtra</t>
        </is>
      </c>
      <c r="I2" s="20" t="n">
        <v>43</v>
      </c>
      <c r="J2" s="20" t="n">
        <v>700</v>
      </c>
      <c r="K2" s="20" t="n">
        <v>700</v>
      </c>
      <c r="L2" s="20" t="inlineStr">
        <is>
          <t>Delivered</t>
        </is>
      </c>
      <c r="M2" s="19" t="n">
        <v>46001</v>
      </c>
      <c r="N2" s="31">
        <f>M2-B2</f>
        <v/>
      </c>
      <c r="O2" s="21" t="n">
        <v>0</v>
      </c>
      <c r="P2" s="21" t="n">
        <v>0</v>
      </c>
      <c r="Q2" s="18" t="n"/>
      <c r="R2" s="20" t="inlineStr">
        <is>
          <t>LR# 277246953</t>
        </is>
      </c>
      <c r="S2" s="20" t="n">
        <v>0</v>
      </c>
      <c r="T2" s="33" t="n">
        <v>29583</v>
      </c>
    </row>
    <row r="3" ht="27.6" customHeight="1">
      <c r="A3" s="29" t="n">
        <v>4</v>
      </c>
      <c r="B3" s="19" t="n">
        <v>45992</v>
      </c>
      <c r="C3" s="27" t="inlineStr">
        <is>
          <t>ASTRA AUTOLITES</t>
        </is>
      </c>
      <c r="D3" s="27" t="inlineStr">
        <is>
          <t>GAT NO, 139B, ALANDI MARKAL ROAD, PUNE - 412105</t>
        </is>
      </c>
      <c r="E3" s="22" t="inlineStr">
        <is>
          <t>Flavia</t>
        </is>
      </c>
      <c r="F3" s="22" t="n">
        <v>9960525493</v>
      </c>
      <c r="G3" s="20" t="inlineStr">
        <is>
          <t>Pune</t>
        </is>
      </c>
      <c r="H3" s="20" t="inlineStr">
        <is>
          <t>Maharashtra</t>
        </is>
      </c>
      <c r="I3" s="20" t="n">
        <v>5</v>
      </c>
      <c r="J3" s="20" t="n">
        <v>70.5</v>
      </c>
      <c r="K3" s="20" t="n">
        <v>70.5</v>
      </c>
      <c r="L3" s="20" t="inlineStr">
        <is>
          <t>Delivered</t>
        </is>
      </c>
      <c r="M3" s="19" t="n">
        <v>45992</v>
      </c>
      <c r="N3" s="31">
        <f>M3-B3</f>
        <v/>
      </c>
      <c r="O3" s="21" t="n">
        <v>10</v>
      </c>
      <c r="P3" s="21">
        <f>J3*O3</f>
        <v/>
      </c>
      <c r="Q3" s="20" t="n"/>
      <c r="R3" s="20" t="n">
        <v>6</v>
      </c>
      <c r="S3" s="33" t="n">
        <v>1080</v>
      </c>
      <c r="T3" s="33" t="n">
        <v>1080</v>
      </c>
      <c r="U3" s="18" t="n"/>
    </row>
    <row r="4" ht="27.6" customHeight="1">
      <c r="A4" s="29" t="n">
        <v>8</v>
      </c>
      <c r="B4" s="19" t="n">
        <v>45999</v>
      </c>
      <c r="C4" s="27" t="inlineStr">
        <is>
          <t>FERYEZ POLYMER PVT LTD</t>
        </is>
      </c>
      <c r="D4" s="27" t="inlineStr">
        <is>
          <t>SR.NO.172, CHICHWADGAON, PUNE 411033 MAHARASHTRA</t>
        </is>
      </c>
      <c r="E4" s="22" t="inlineStr">
        <is>
          <t xml:space="preserve">Sandip </t>
        </is>
      </c>
      <c r="F4" s="22" t="n">
        <v>9503161311</v>
      </c>
      <c r="G4" s="20" t="inlineStr">
        <is>
          <t>Pune</t>
        </is>
      </c>
      <c r="H4" s="20" t="inlineStr">
        <is>
          <t>Maharashtra</t>
        </is>
      </c>
      <c r="I4" s="20" t="n">
        <v>46</v>
      </c>
      <c r="J4" s="20" t="n">
        <v>850</v>
      </c>
      <c r="K4" s="20" t="n">
        <v>822.8</v>
      </c>
      <c r="L4" s="20" t="inlineStr">
        <is>
          <t>Delivered</t>
        </is>
      </c>
      <c r="M4" s="19" t="n">
        <v>45999</v>
      </c>
      <c r="N4" s="31">
        <f>M4-B4</f>
        <v/>
      </c>
      <c r="O4" s="21" t="n">
        <v>10</v>
      </c>
      <c r="P4" s="21">
        <f>K4*O4</f>
        <v/>
      </c>
      <c r="Q4" s="20" t="n"/>
      <c r="R4" s="20" t="n">
        <v>0</v>
      </c>
      <c r="S4" s="33" t="n">
        <v>0</v>
      </c>
      <c r="T4" s="20" t="n">
        <v>0</v>
      </c>
      <c r="U4" s="18" t="n"/>
    </row>
    <row r="5" ht="27.6" customFormat="1" customHeight="1" s="26">
      <c r="A5" s="29" t="n">
        <v>25</v>
      </c>
      <c r="B5" s="19" t="n">
        <v>46021</v>
      </c>
      <c r="C5" s="27" t="inlineStr">
        <is>
          <t>FERYEZ POLYMER PVT LTD</t>
        </is>
      </c>
      <c r="D5" s="27" t="inlineStr">
        <is>
          <t>SR.NO.172, CHICHWADGAON, PUNE 411033 MAHARASHTRA</t>
        </is>
      </c>
      <c r="E5" s="22" t="inlineStr">
        <is>
          <t xml:space="preserve">Sandip </t>
        </is>
      </c>
      <c r="F5" s="22" t="n">
        <v>9503161311</v>
      </c>
      <c r="G5" s="20" t="inlineStr">
        <is>
          <t>Pune</t>
        </is>
      </c>
      <c r="H5" s="20" t="inlineStr">
        <is>
          <t>Maharashtra</t>
        </is>
      </c>
      <c r="I5" s="20" t="n">
        <v>731.5</v>
      </c>
      <c r="J5" s="20" t="n">
        <v>35</v>
      </c>
      <c r="K5" s="20" t="n">
        <v>731.5</v>
      </c>
      <c r="L5" s="20" t="inlineStr">
        <is>
          <t>Delivered</t>
        </is>
      </c>
      <c r="M5" s="19" t="n">
        <v>46021</v>
      </c>
      <c r="N5" s="31" t="n">
        <v>0</v>
      </c>
      <c r="O5" s="21" t="n">
        <v>10</v>
      </c>
      <c r="P5" s="21" t="n">
        <v>7315</v>
      </c>
      <c r="Q5" s="18" t="n"/>
      <c r="R5" s="20" t="inlineStr">
        <is>
          <t>Self</t>
        </is>
      </c>
      <c r="S5" s="20" t="n">
        <v>0</v>
      </c>
      <c r="T5" s="33">
        <f>J5*S5</f>
        <v/>
      </c>
    </row>
    <row r="6" ht="27.6" customFormat="1" customHeight="1" s="26">
      <c r="A6" s="29" t="inlineStr">
        <is>
          <t>NO</t>
        </is>
      </c>
      <c r="B6" s="19" t="n">
        <v>45999</v>
      </c>
      <c r="C6" s="27" t="inlineStr">
        <is>
          <t>JAI BHAVANI MATA ENGITECH PRIVATE LIMITED</t>
        </is>
      </c>
      <c r="D6" s="27" t="inlineStr">
        <is>
          <t>681, LANDEWADI, BHOSARI . BHOSARI , PUNE – 411026</t>
        </is>
      </c>
      <c r="E6" s="22" t="inlineStr">
        <is>
          <t>Balaji</t>
        </is>
      </c>
      <c r="F6" s="22" t="n">
        <v>9765567788</v>
      </c>
      <c r="G6" s="20" t="inlineStr">
        <is>
          <t>Pune</t>
        </is>
      </c>
      <c r="H6" s="20" t="inlineStr">
        <is>
          <t>Maharashtra</t>
        </is>
      </c>
      <c r="I6" s="20" t="n">
        <v>5</v>
      </c>
      <c r="J6" s="20" t="n">
        <v>100</v>
      </c>
      <c r="K6" s="20" t="n">
        <v>67.5</v>
      </c>
      <c r="L6" s="20" t="inlineStr">
        <is>
          <t>Delivered</t>
        </is>
      </c>
      <c r="M6" s="19" t="n">
        <v>45999</v>
      </c>
      <c r="N6" s="31">
        <f>M6-B6</f>
        <v/>
      </c>
      <c r="O6" s="21" t="n">
        <v>10</v>
      </c>
      <c r="P6" s="21">
        <f>K6*O6</f>
        <v/>
      </c>
      <c r="Q6" s="18" t="n"/>
      <c r="R6" s="20" t="inlineStr">
        <is>
          <t>Self</t>
        </is>
      </c>
      <c r="S6" s="20" t="n">
        <v>0</v>
      </c>
      <c r="T6" s="33">
        <f>J6*S6</f>
        <v/>
      </c>
    </row>
    <row r="7" ht="41.4" customFormat="1" customHeight="1" s="26">
      <c r="A7" s="29" t="n">
        <v>5</v>
      </c>
      <c r="B7" s="19" t="n">
        <v>45993</v>
      </c>
      <c r="C7" s="27" t="inlineStr">
        <is>
          <t>NIKY PRECISION ENGINEERS PRIVATE LIMITED</t>
        </is>
      </c>
      <c r="D7" s="27" t="inlineStr">
        <is>
          <t xml:space="preserve"> PLOT NO 15, GALA NO 1, 3, 5, 7, PLOT NO 9, S NO 38/2/18, 16, NARHE, PUNE-411041</t>
        </is>
      </c>
      <c r="E7" s="22" t="inlineStr">
        <is>
          <t>Jeevan</t>
        </is>
      </c>
      <c r="F7" s="22" t="n">
        <v>8446006021</v>
      </c>
      <c r="G7" s="20" t="inlineStr">
        <is>
          <t>Pune</t>
        </is>
      </c>
      <c r="H7" s="20" t="inlineStr">
        <is>
          <t>Maharashtra</t>
        </is>
      </c>
      <c r="I7" s="20" t="n">
        <v>37</v>
      </c>
      <c r="J7" s="20" t="n">
        <v>370</v>
      </c>
      <c r="K7" s="20" t="n">
        <v>332.26</v>
      </c>
      <c r="L7" s="20" t="inlineStr">
        <is>
          <t>Delivered</t>
        </is>
      </c>
      <c r="M7" s="19" t="n">
        <v>45996</v>
      </c>
      <c r="N7" s="31">
        <f>M7-B7</f>
        <v/>
      </c>
      <c r="O7" s="21" t="n">
        <v>10</v>
      </c>
      <c r="P7" s="21">
        <f>K7*O7</f>
        <v/>
      </c>
      <c r="Q7" s="18" t="n"/>
      <c r="R7" s="20" t="inlineStr">
        <is>
          <t>Self</t>
        </is>
      </c>
      <c r="S7" s="20" t="n">
        <v>0</v>
      </c>
      <c r="T7" s="33">
        <f>J7*S7</f>
        <v/>
      </c>
    </row>
    <row r="8" ht="41.4" customFormat="1" customHeight="1" s="26">
      <c r="A8" s="29" t="n">
        <v>19</v>
      </c>
      <c r="B8" s="19" t="n">
        <v>46011</v>
      </c>
      <c r="C8" s="27" t="inlineStr">
        <is>
          <t>NIKY PRECISION ENGINEERS PRIVATE LIMITED</t>
        </is>
      </c>
      <c r="D8" s="27" t="inlineStr">
        <is>
          <t xml:space="preserve"> PLOT NO 15, GALA NO 1, 3, 5, 7, PLOT NO 9, S NO 38/2/18, 16, NARHE, PUNE-411041</t>
        </is>
      </c>
      <c r="E8" s="22" t="inlineStr">
        <is>
          <t>Jeevan</t>
        </is>
      </c>
      <c r="F8" s="22" t="n">
        <v>8446006021</v>
      </c>
      <c r="G8" s="20" t="inlineStr">
        <is>
          <t>Pune</t>
        </is>
      </c>
      <c r="H8" s="20" t="inlineStr">
        <is>
          <t>Maharashtra</t>
        </is>
      </c>
      <c r="I8" s="20" t="n">
        <v>3</v>
      </c>
      <c r="J8" s="20" t="n">
        <v>30</v>
      </c>
      <c r="K8" s="20" t="n">
        <v>28.9</v>
      </c>
      <c r="L8" s="20" t="inlineStr">
        <is>
          <t>Delivered</t>
        </is>
      </c>
      <c r="M8" s="19" t="n">
        <v>46013</v>
      </c>
      <c r="N8" s="31" t="n">
        <v>2</v>
      </c>
      <c r="O8" s="21" t="n">
        <v>10</v>
      </c>
      <c r="P8" s="21">
        <f>K8*O8</f>
        <v/>
      </c>
      <c r="Q8" s="18" t="n"/>
      <c r="R8" s="20" t="inlineStr">
        <is>
          <t>Self</t>
        </is>
      </c>
      <c r="S8" s="20" t="n">
        <v>0</v>
      </c>
      <c r="T8" s="33">
        <f>J8*S8</f>
        <v/>
      </c>
    </row>
    <row r="9" ht="41.4" customFormat="1" customHeight="1" s="26">
      <c r="A9" s="29" t="n">
        <v>6</v>
      </c>
      <c r="B9" s="19" t="n">
        <v>45995</v>
      </c>
      <c r="C9" s="27" t="inlineStr">
        <is>
          <t>NIKY PRECISION(MULAY POLYMERS PVT. LTD.)</t>
        </is>
      </c>
      <c r="D9" s="27" t="inlineStr">
        <is>
          <t>Gat No 679/2/1 Plot No. 30/6, Chakan Alandi Road, Tal.-Khed Dist.-Pune-410501.</t>
        </is>
      </c>
      <c r="E9" s="22" t="inlineStr">
        <is>
          <t xml:space="preserve">Rajkumar </t>
        </is>
      </c>
      <c r="F9" s="22" t="n">
        <v>9156575795</v>
      </c>
      <c r="G9" s="20" t="inlineStr">
        <is>
          <t>Pune</t>
        </is>
      </c>
      <c r="H9" s="20" t="inlineStr">
        <is>
          <t>Maharashtra</t>
        </is>
      </c>
      <c r="I9" s="20" t="n">
        <v>20</v>
      </c>
      <c r="J9" s="20" t="n">
        <v>200</v>
      </c>
      <c r="K9" s="20" t="n">
        <v>200</v>
      </c>
      <c r="L9" s="20" t="inlineStr">
        <is>
          <t>Delivered</t>
        </is>
      </c>
      <c r="M9" s="19" t="n">
        <v>45996</v>
      </c>
      <c r="N9" s="31">
        <f>M9-B9</f>
        <v/>
      </c>
      <c r="O9" s="21" t="n">
        <v>10</v>
      </c>
      <c r="P9" s="21">
        <f>K9*O9</f>
        <v/>
      </c>
      <c r="Q9" s="18" t="n"/>
      <c r="R9" s="20" t="inlineStr">
        <is>
          <t>Self</t>
        </is>
      </c>
      <c r="S9" s="20" t="n">
        <v>0</v>
      </c>
      <c r="T9" s="33">
        <f>J9*S9</f>
        <v/>
      </c>
    </row>
    <row r="10" ht="41.4" customFormat="1" customHeight="1" s="26">
      <c r="A10" s="29" t="inlineStr">
        <is>
          <t>NO</t>
        </is>
      </c>
      <c r="B10" s="19" t="n">
        <v>45999</v>
      </c>
      <c r="C10" s="27" t="inlineStr">
        <is>
          <t>NIKY PRECISION(MULAY POLYMERS PVT. LTD.)</t>
        </is>
      </c>
      <c r="D10" s="27" t="inlineStr">
        <is>
          <t>Gat No 679/2/1 Plot No. 30/6, Chakan Alandi Road, Tal.-Khed Dist.-Pune-410501.</t>
        </is>
      </c>
      <c r="E10" s="22" t="inlineStr">
        <is>
          <t>Nikhil kumbar</t>
        </is>
      </c>
      <c r="F10" s="22" t="n">
        <v>8180814400</v>
      </c>
      <c r="G10" s="20" t="inlineStr">
        <is>
          <t>Pune</t>
        </is>
      </c>
      <c r="H10" s="20" t="inlineStr">
        <is>
          <t>Maharashtra</t>
        </is>
      </c>
      <c r="I10" s="20" t="n">
        <v>46</v>
      </c>
      <c r="J10" s="20" t="n">
        <v>460</v>
      </c>
      <c r="K10" s="20" t="n">
        <v>386.4</v>
      </c>
      <c r="L10" s="20" t="inlineStr">
        <is>
          <t>Delivered</t>
        </is>
      </c>
      <c r="M10" s="19" t="n">
        <v>46001</v>
      </c>
      <c r="N10" s="31">
        <f>M10-B10</f>
        <v/>
      </c>
      <c r="O10" s="21" t="n">
        <v>10</v>
      </c>
      <c r="P10" s="21">
        <f>K10*O10</f>
        <v/>
      </c>
      <c r="Q10" s="18" t="n"/>
      <c r="R10" s="20" t="inlineStr">
        <is>
          <t>Self</t>
        </is>
      </c>
      <c r="S10" s="20" t="n">
        <v>0</v>
      </c>
      <c r="T10" s="33">
        <f>J10*S10</f>
        <v/>
      </c>
    </row>
    <row r="11" ht="31.95" customFormat="1" customHeight="1" s="26">
      <c r="A11" s="29" t="n">
        <v>17</v>
      </c>
      <c r="B11" s="19" t="n">
        <v>46008</v>
      </c>
      <c r="C11" s="27" t="inlineStr">
        <is>
          <t>NIKY PRECISION(MULAY POLYMERS PVT. LTD.)</t>
        </is>
      </c>
      <c r="D11" s="27" t="inlineStr">
        <is>
          <t>Gat No 679/2/1 Plot No. 30/6, Chakan Alandi Road, Tal.-Khed Dist.-Pune-410501.</t>
        </is>
      </c>
      <c r="E11" s="22" t="inlineStr">
        <is>
          <t>Nikhil kumbar</t>
        </is>
      </c>
      <c r="F11" s="22" t="n">
        <v>8180814400</v>
      </c>
      <c r="G11" s="20" t="inlineStr">
        <is>
          <t>Pune</t>
        </is>
      </c>
      <c r="H11" s="20" t="inlineStr">
        <is>
          <t>Maharashtra</t>
        </is>
      </c>
      <c r="I11" s="20" t="n">
        <v>12</v>
      </c>
      <c r="J11" s="20" t="n">
        <v>120</v>
      </c>
      <c r="K11" s="20" t="n">
        <v>100.8</v>
      </c>
      <c r="L11" s="20" t="inlineStr">
        <is>
          <t>Delivered</t>
        </is>
      </c>
      <c r="M11" s="19" t="n">
        <v>46009</v>
      </c>
      <c r="N11" s="31" t="n">
        <v>1</v>
      </c>
      <c r="O11" s="21" t="n">
        <v>10</v>
      </c>
      <c r="P11" s="21">
        <f>K11*O11</f>
        <v/>
      </c>
      <c r="Q11" s="18" t="n"/>
      <c r="R11" s="20" t="inlineStr">
        <is>
          <t>Self</t>
        </is>
      </c>
      <c r="S11" s="20" t="n">
        <v>0</v>
      </c>
      <c r="T11" s="33">
        <f>J11*S11</f>
        <v/>
      </c>
    </row>
    <row r="12" ht="41.4" customFormat="1" customHeight="1" s="26">
      <c r="A12" s="29" t="n">
        <v>20</v>
      </c>
      <c r="B12" s="19" t="n">
        <v>46015</v>
      </c>
      <c r="C12" s="27" t="inlineStr">
        <is>
          <t>NIKY PRECISION(MULAY POLYMERS PVT. LTD.)</t>
        </is>
      </c>
      <c r="D12" s="27" t="inlineStr">
        <is>
          <t>Gat No 679/2/1 Plot No. 30/6, Chakan Alandi Road, Tal.-Khed Dist.-Pune-410501.</t>
        </is>
      </c>
      <c r="E12" s="22" t="inlineStr">
        <is>
          <t>Nikhil kumbar</t>
        </is>
      </c>
      <c r="F12" s="22" t="n">
        <v>8180814400</v>
      </c>
      <c r="G12" s="20" t="inlineStr">
        <is>
          <t>Pune</t>
        </is>
      </c>
      <c r="H12" s="20" t="inlineStr">
        <is>
          <t>Maharashtra</t>
        </is>
      </c>
      <c r="I12" s="20" t="n">
        <v>28</v>
      </c>
      <c r="J12" s="20" t="n">
        <v>210</v>
      </c>
      <c r="K12" s="20" t="n">
        <v>231.43</v>
      </c>
      <c r="L12" s="20" t="inlineStr">
        <is>
          <t>Delivered</t>
        </is>
      </c>
      <c r="M12" s="19" t="n">
        <v>46016</v>
      </c>
      <c r="N12" s="31" t="n">
        <v>1</v>
      </c>
      <c r="O12" s="21" t="n">
        <v>10</v>
      </c>
      <c r="P12" s="21">
        <f>K12*O12</f>
        <v/>
      </c>
      <c r="Q12" s="18" t="n"/>
      <c r="R12" s="20" t="inlineStr">
        <is>
          <t>Third Party</t>
        </is>
      </c>
      <c r="S12" s="20" t="n"/>
      <c r="T12" s="33" t="n">
        <v>0</v>
      </c>
    </row>
    <row r="13" ht="27.6" customFormat="1" customHeight="1" s="26">
      <c r="A13" s="29" t="n">
        <v>22</v>
      </c>
      <c r="B13" s="19" t="n">
        <v>46015</v>
      </c>
      <c r="C13" s="27" t="inlineStr">
        <is>
          <t>PACOLINE INDUSTRIES PRIVATE LIMITED</t>
        </is>
      </c>
      <c r="D13" s="27" t="inlineStr">
        <is>
          <t>21 Hadapsar Indl Estate  Pune 411013</t>
        </is>
      </c>
      <c r="E13" s="22" t="inlineStr">
        <is>
          <t>SOURAV</t>
        </is>
      </c>
      <c r="F13" s="22" t="n">
        <v>9552519571</v>
      </c>
      <c r="G13" s="22" t="inlineStr">
        <is>
          <t>Pune</t>
        </is>
      </c>
      <c r="H13" s="22" t="inlineStr">
        <is>
          <t>Maharashtra</t>
        </is>
      </c>
      <c r="I13" s="20" t="n">
        <v>16</v>
      </c>
      <c r="J13" s="20" t="n">
        <v>192</v>
      </c>
      <c r="K13" s="20" t="n">
        <v>184.32</v>
      </c>
      <c r="L13" s="20" t="inlineStr">
        <is>
          <t>Delivered</t>
        </is>
      </c>
      <c r="M13" s="19" t="n">
        <v>46016</v>
      </c>
      <c r="N13" s="31" t="n">
        <v>1</v>
      </c>
      <c r="O13" s="21" t="n">
        <v>10</v>
      </c>
      <c r="P13" s="21">
        <f>K13*O13</f>
        <v/>
      </c>
      <c r="Q13" s="18" t="n"/>
      <c r="R13" s="20" t="inlineStr">
        <is>
          <t>Third Party</t>
        </is>
      </c>
      <c r="S13" s="20" t="n"/>
      <c r="T13" s="33" t="n">
        <v>12000</v>
      </c>
    </row>
    <row r="14" ht="27.6" customFormat="1" customHeight="1" s="26">
      <c r="A14" s="29" t="n">
        <v>14</v>
      </c>
      <c r="B14" s="19" t="n">
        <v>46004</v>
      </c>
      <c r="C14" s="27" t="inlineStr">
        <is>
          <t>Perfect Cam Profile Pvt Ltd</t>
        </is>
      </c>
      <c r="D14" s="27" t="inlineStr">
        <is>
          <t>Address: Plot No S 55, Bhosari Industrial Estate, Pune - 411026</t>
        </is>
      </c>
      <c r="E14" s="22" t="inlineStr">
        <is>
          <t>Mehul Patel</t>
        </is>
      </c>
      <c r="F14" s="22" t="n">
        <v>9860040965</v>
      </c>
      <c r="G14" s="20" t="inlineStr">
        <is>
          <t>Pune</t>
        </is>
      </c>
      <c r="H14" s="20" t="inlineStr">
        <is>
          <t>Maharashtra</t>
        </is>
      </c>
      <c r="I14" s="20" t="n">
        <v>180</v>
      </c>
      <c r="J14" s="20" t="n">
        <v>3600</v>
      </c>
      <c r="K14" s="20" t="n"/>
      <c r="L14" s="20" t="inlineStr">
        <is>
          <t>Delivered</t>
        </is>
      </c>
      <c r="M14" s="19" t="n">
        <v>46005</v>
      </c>
      <c r="N14" s="31">
        <f>M14-B14</f>
        <v/>
      </c>
      <c r="O14" s="21" t="n"/>
      <c r="P14" s="21" t="n">
        <v>9000</v>
      </c>
      <c r="Q14" s="18" t="n"/>
      <c r="R14" s="20" t="inlineStr">
        <is>
          <t>Third Party</t>
        </is>
      </c>
      <c r="S14" s="20" t="n"/>
      <c r="T14" s="33" t="n">
        <v>6500</v>
      </c>
    </row>
    <row r="15" ht="27.6" customFormat="1" customHeight="1" s="26">
      <c r="A15" s="29" t="n">
        <v>7</v>
      </c>
      <c r="B15" s="19" t="n">
        <v>45995</v>
      </c>
      <c r="C15" s="27" t="inlineStr">
        <is>
          <t>PREMIER SEALS INDIA PRIVATE LTD</t>
        </is>
      </c>
      <c r="D15" s="27" t="inlineStr">
        <is>
          <t>20/8, D-1 BLOCK, MIDC, CHINCHWAD, PUNE MAHARASHTRA 411019</t>
        </is>
      </c>
      <c r="E15" s="22" t="inlineStr">
        <is>
          <t xml:space="preserve">Mita </t>
        </is>
      </c>
      <c r="F15" s="22" t="n">
        <v>8956347535</v>
      </c>
      <c r="G15" s="20" t="inlineStr">
        <is>
          <t>Pune</t>
        </is>
      </c>
      <c r="H15" s="20" t="inlineStr">
        <is>
          <t>Maharashtra</t>
        </is>
      </c>
      <c r="I15" s="20" t="n">
        <v>40</v>
      </c>
      <c r="J15" s="20" t="n">
        <v>280</v>
      </c>
      <c r="K15" s="20" t="n">
        <v>243</v>
      </c>
      <c r="L15" s="20" t="inlineStr">
        <is>
          <t>Delivered</t>
        </is>
      </c>
      <c r="M15" s="19" t="n">
        <v>45996</v>
      </c>
      <c r="N15" s="31">
        <f>M15-B15</f>
        <v/>
      </c>
      <c r="O15" s="21" t="n">
        <v>10</v>
      </c>
      <c r="P15" s="21">
        <f>K15*O15</f>
        <v/>
      </c>
      <c r="Q15" s="18" t="n"/>
      <c r="R15" s="20" t="inlineStr">
        <is>
          <t>Third Party</t>
        </is>
      </c>
      <c r="S15" s="20" t="n"/>
      <c r="T15" s="33" t="n">
        <v>7500</v>
      </c>
    </row>
    <row r="16" ht="27.6" customFormat="1" customHeight="1" s="26">
      <c r="A16" s="29" t="n">
        <v>18</v>
      </c>
      <c r="B16" s="19" t="n">
        <v>46011</v>
      </c>
      <c r="C16" s="27" t="inlineStr">
        <is>
          <t>PREMIER SEALS INDIA PRIVATE LTD</t>
        </is>
      </c>
      <c r="D16" s="27" t="inlineStr">
        <is>
          <t>20/8, D-1 BLOCK, MIDC, CHINCHWAD, PUNE MAHARASHTRA 411019</t>
        </is>
      </c>
      <c r="E16" s="22" t="inlineStr">
        <is>
          <t xml:space="preserve">Mita </t>
        </is>
      </c>
      <c r="F16" s="22" t="n">
        <v>8956347535</v>
      </c>
      <c r="G16" s="20" t="inlineStr">
        <is>
          <t>Pune</t>
        </is>
      </c>
      <c r="H16" s="20" t="inlineStr">
        <is>
          <t>Maharashtra</t>
        </is>
      </c>
      <c r="I16" s="20" t="n">
        <v>34</v>
      </c>
      <c r="J16" s="20" t="n">
        <v>250</v>
      </c>
      <c r="K16" s="20" t="n">
        <v>203.5</v>
      </c>
      <c r="L16" s="20" t="inlineStr">
        <is>
          <t>Delivered</t>
        </is>
      </c>
      <c r="M16" s="19" t="n">
        <v>46013</v>
      </c>
      <c r="N16" s="31" t="n">
        <v>2</v>
      </c>
      <c r="O16" s="21" t="n">
        <v>10</v>
      </c>
      <c r="P16" s="21">
        <f>K16*O16</f>
        <v/>
      </c>
      <c r="Q16" s="18" t="n"/>
      <c r="R16" s="20" t="inlineStr">
        <is>
          <t>Cargolink</t>
        </is>
      </c>
      <c r="S16" s="20" t="n"/>
      <c r="T16" s="33" t="n">
        <v>1000</v>
      </c>
    </row>
    <row r="17" ht="27.6" customFormat="1" customHeight="1" s="26">
      <c r="A17" s="29" t="n">
        <v>2</v>
      </c>
      <c r="B17" s="19" t="n">
        <v>45990</v>
      </c>
      <c r="C17" s="22" t="inlineStr">
        <is>
          <t>SAI ASSOCIATES</t>
        </is>
      </c>
      <c r="D17" s="22" t="inlineStr">
        <is>
          <t>M-24, ADDITIONAL MIDC, KODOLI, SATARA 415004,</t>
        </is>
      </c>
      <c r="E17" s="22" t="inlineStr">
        <is>
          <t>Sachin</t>
        </is>
      </c>
      <c r="F17" s="22" t="n">
        <v>9921594837</v>
      </c>
      <c r="G17" s="20" t="inlineStr">
        <is>
          <t>Satara</t>
        </is>
      </c>
      <c r="H17" s="20" t="inlineStr">
        <is>
          <t>Maharashtra</t>
        </is>
      </c>
      <c r="I17" s="20" t="n">
        <v>13</v>
      </c>
      <c r="J17" s="20" t="n">
        <v>260</v>
      </c>
      <c r="K17" s="20" t="n">
        <v>260</v>
      </c>
      <c r="L17" s="20" t="inlineStr">
        <is>
          <t>Delivered</t>
        </is>
      </c>
      <c r="M17" s="19" t="n">
        <v>45992</v>
      </c>
      <c r="N17" s="31">
        <f>M17-B17</f>
        <v/>
      </c>
      <c r="O17" s="21" t="n">
        <v>10</v>
      </c>
      <c r="P17" s="21">
        <f>J17*O17</f>
        <v/>
      </c>
      <c r="Q17" s="18" t="n"/>
      <c r="R17" s="20" t="inlineStr">
        <is>
          <t>Self</t>
        </is>
      </c>
      <c r="S17" s="20" t="n"/>
      <c r="T17" s="33">
        <f>J17*S17</f>
        <v/>
      </c>
    </row>
    <row r="18" ht="27.6" customFormat="1" customHeight="1" s="26">
      <c r="A18" s="29" t="inlineStr">
        <is>
          <t>no</t>
        </is>
      </c>
      <c r="B18" s="19" t="n">
        <v>46004</v>
      </c>
      <c r="C18" s="22" t="inlineStr">
        <is>
          <t>SAI ASSOCIATES</t>
        </is>
      </c>
      <c r="D18" s="22" t="inlineStr">
        <is>
          <t>M-24, ADDITIONAL MIDC, KODOLI, SATARA 415004,</t>
        </is>
      </c>
      <c r="E18" s="22" t="inlineStr">
        <is>
          <t>Sachin</t>
        </is>
      </c>
      <c r="F18" s="22" t="n">
        <v>9921594837</v>
      </c>
      <c r="G18" s="20" t="inlineStr">
        <is>
          <t>Satara</t>
        </is>
      </c>
      <c r="H18" s="20" t="inlineStr">
        <is>
          <t>Maharashtra</t>
        </is>
      </c>
      <c r="I18" s="20" t="n">
        <v>8</v>
      </c>
      <c r="J18" s="20" t="n">
        <v>100</v>
      </c>
      <c r="K18" s="20" t="n">
        <v>100</v>
      </c>
      <c r="L18" s="20" t="inlineStr">
        <is>
          <t>Delivered</t>
        </is>
      </c>
      <c r="M18" s="19" t="n">
        <v>46005</v>
      </c>
      <c r="N18" s="31">
        <f>M18-B18</f>
        <v/>
      </c>
      <c r="O18" s="21" t="n">
        <v>10</v>
      </c>
      <c r="P18" s="21">
        <f>K18*O18</f>
        <v/>
      </c>
      <c r="Q18" s="18" t="n"/>
      <c r="R18" s="20" t="inlineStr">
        <is>
          <t>Self</t>
        </is>
      </c>
      <c r="S18" s="20" t="n"/>
      <c r="T18" s="33">
        <f>J18*S18</f>
        <v/>
      </c>
    </row>
    <row r="19" ht="27.6" customFormat="1" customHeight="1" s="26">
      <c r="A19" s="29" t="n">
        <v>24</v>
      </c>
      <c r="B19" s="19" t="n">
        <v>46015</v>
      </c>
      <c r="C19" s="22" t="inlineStr">
        <is>
          <t>SAI ASSOCIATES</t>
        </is>
      </c>
      <c r="D19" s="22" t="inlineStr">
        <is>
          <t>M-24, ADDITIONAL MIDC, KODOLI, SATARA 415004,</t>
        </is>
      </c>
      <c r="E19" s="22" t="inlineStr">
        <is>
          <t>Sachin</t>
        </is>
      </c>
      <c r="F19" s="22" t="n">
        <v>9921594837</v>
      </c>
      <c r="G19" s="20" t="inlineStr">
        <is>
          <t>Satara</t>
        </is>
      </c>
      <c r="H19" s="20" t="inlineStr">
        <is>
          <t>Maharashtra</t>
        </is>
      </c>
      <c r="I19" s="20" t="n">
        <v>1</v>
      </c>
      <c r="J19" s="20" t="n">
        <v>20</v>
      </c>
      <c r="K19" s="20" t="n">
        <v>20</v>
      </c>
      <c r="L19" s="20" t="inlineStr">
        <is>
          <t>Delivered</t>
        </is>
      </c>
      <c r="M19" s="19" t="n">
        <v>46018</v>
      </c>
      <c r="N19" s="31" t="n">
        <v>3</v>
      </c>
      <c r="O19" s="21" t="n">
        <v>10</v>
      </c>
      <c r="P19" s="21" t="n">
        <v>240</v>
      </c>
      <c r="Q19" s="18" t="n"/>
      <c r="R19" s="20" t="inlineStr">
        <is>
          <t>Self</t>
        </is>
      </c>
      <c r="S19" s="20" t="n"/>
      <c r="T19" s="33">
        <f>J19*S19</f>
        <v/>
      </c>
    </row>
    <row r="20" ht="27.6" customFormat="1" customHeight="1" s="26">
      <c r="A20" s="29" t="inlineStr">
        <is>
          <t>NO</t>
        </is>
      </c>
      <c r="B20" s="19" t="n">
        <v>45989</v>
      </c>
      <c r="C20" s="27" t="inlineStr">
        <is>
          <t>Shekhar Brothers</t>
        </is>
      </c>
      <c r="D20" s="27" t="inlineStr">
        <is>
          <t>Plot No 58, Sector 6, Faridabad, Harayana - 121006</t>
        </is>
      </c>
      <c r="E20" s="22" t="inlineStr">
        <is>
          <t>Rajiv</t>
        </is>
      </c>
      <c r="F20" s="22" t="n">
        <v>8882838488</v>
      </c>
      <c r="G20" s="20" t="inlineStr">
        <is>
          <t>Faridabad</t>
        </is>
      </c>
      <c r="H20" s="20" t="inlineStr">
        <is>
          <t>Harayana</t>
        </is>
      </c>
      <c r="I20" s="20" t="n">
        <v>100</v>
      </c>
      <c r="J20" s="20" t="n">
        <v>2393</v>
      </c>
      <c r="K20" s="20" t="n">
        <v>2393</v>
      </c>
      <c r="L20" s="20" t="inlineStr">
        <is>
          <t>Delivered</t>
        </is>
      </c>
      <c r="M20" s="19" t="n">
        <v>45993</v>
      </c>
      <c r="N20" s="31">
        <f>M20-B20</f>
        <v/>
      </c>
      <c r="O20" s="21" t="n">
        <v>10</v>
      </c>
      <c r="P20" s="21" t="n">
        <v>29583</v>
      </c>
      <c r="Q20" s="18" t="n"/>
      <c r="R20" s="20" t="inlineStr">
        <is>
          <t>Self</t>
        </is>
      </c>
      <c r="S20" s="20" t="n"/>
      <c r="T20" s="33">
        <f>J20*S20</f>
        <v/>
      </c>
    </row>
    <row r="21" ht="41.4" customFormat="1" customHeight="1" s="26">
      <c r="A21" s="29" t="n">
        <v>3</v>
      </c>
      <c r="B21" s="19" t="n">
        <v>45990</v>
      </c>
      <c r="C21" s="22" t="inlineStr">
        <is>
          <t>THANUSAR ENTERPRISES</t>
        </is>
      </c>
      <c r="D21" s="22" t="inlineStr">
        <is>
          <t>PLOT NO 4/50, ADHAR INDUSTRIAL PREMISES, SECTOR NO 10 MIDC, BHOSARI PUNE</t>
        </is>
      </c>
      <c r="E21" s="22" t="inlineStr">
        <is>
          <t>Vishnu</t>
        </is>
      </c>
      <c r="F21" s="22" t="n">
        <v>9036230620</v>
      </c>
      <c r="G21" s="20" t="inlineStr">
        <is>
          <t>Pune</t>
        </is>
      </c>
      <c r="H21" s="20" t="inlineStr">
        <is>
          <t>Maharashtra</t>
        </is>
      </c>
      <c r="I21" s="20" t="n">
        <v>12</v>
      </c>
      <c r="J21" s="20" t="n">
        <v>334</v>
      </c>
      <c r="K21" s="20" t="n">
        <v>334</v>
      </c>
      <c r="L21" s="20" t="inlineStr">
        <is>
          <t>Delivered</t>
        </is>
      </c>
      <c r="M21" s="19" t="n">
        <v>45992</v>
      </c>
      <c r="N21" s="31">
        <f>M21-B21</f>
        <v/>
      </c>
      <c r="O21" s="21" t="n">
        <v>10</v>
      </c>
      <c r="P21" s="21">
        <f>J21*O21</f>
        <v/>
      </c>
      <c r="Q21" s="18" t="n"/>
      <c r="R21" s="20" t="inlineStr">
        <is>
          <t>Self</t>
        </is>
      </c>
      <c r="S21" s="20" t="n"/>
      <c r="T21" s="33">
        <f>J21*S21</f>
        <v/>
      </c>
    </row>
    <row r="22" ht="41.4" customFormat="1" customHeight="1" s="26">
      <c r="A22" s="29" t="n">
        <v>16</v>
      </c>
      <c r="B22" s="19" t="n">
        <v>46008</v>
      </c>
      <c r="C22" s="22" t="inlineStr">
        <is>
          <t>THANUSAR ENTERPRISES</t>
        </is>
      </c>
      <c r="D22" s="22" t="inlineStr">
        <is>
          <t>PLOT NO 4/50, ADHAR INDUSTRIAL PREMISES, SECTOR NO 10 MIDC, BHOSARI PUNE</t>
        </is>
      </c>
      <c r="E22" s="22" t="inlineStr">
        <is>
          <t>Vishnu</t>
        </is>
      </c>
      <c r="F22" s="22" t="n">
        <v>9036230620</v>
      </c>
      <c r="G22" s="20" t="inlineStr">
        <is>
          <t>Pune</t>
        </is>
      </c>
      <c r="H22" s="20" t="inlineStr">
        <is>
          <t>Maharashtra</t>
        </is>
      </c>
      <c r="I22" s="20" t="n">
        <v>1</v>
      </c>
      <c r="J22" s="20" t="n">
        <v>20</v>
      </c>
      <c r="K22" s="20" t="n">
        <v>12.4</v>
      </c>
      <c r="L22" s="20" t="inlineStr">
        <is>
          <t>Delivered</t>
        </is>
      </c>
      <c r="M22" s="19" t="n">
        <v>46009</v>
      </c>
      <c r="N22" s="31">
        <f>M22-B23</f>
        <v/>
      </c>
      <c r="O22" s="21" t="n">
        <v>10</v>
      </c>
      <c r="P22" s="21">
        <f>K22*O22</f>
        <v/>
      </c>
      <c r="Q22" s="18" t="n"/>
      <c r="R22" s="20" t="inlineStr">
        <is>
          <t>Self</t>
        </is>
      </c>
      <c r="S22" s="20" t="n"/>
      <c r="T22" s="33">
        <f>J22*S22</f>
        <v/>
      </c>
    </row>
    <row r="23" ht="41.4" customFormat="1" customHeight="1" s="26">
      <c r="A23" s="29" t="n">
        <v>21</v>
      </c>
      <c r="B23" s="19" t="n">
        <v>46015</v>
      </c>
      <c r="C23" s="22" t="inlineStr">
        <is>
          <t>THANUSAR ENTERPRISES</t>
        </is>
      </c>
      <c r="D23" s="22" t="inlineStr">
        <is>
          <t>PLOT NO 4/50, ADHAR INDUSTRIAL PREMISES, SECTOR NO 10 MIDC, BHOSARI PUNE</t>
        </is>
      </c>
      <c r="E23" s="22" t="inlineStr">
        <is>
          <t>Vishnu</t>
        </is>
      </c>
      <c r="F23" s="22" t="n">
        <v>9036230620</v>
      </c>
      <c r="G23" s="20" t="inlineStr">
        <is>
          <t>Pune</t>
        </is>
      </c>
      <c r="H23" s="20" t="inlineStr">
        <is>
          <t>Maharashtra</t>
        </is>
      </c>
      <c r="I23" s="20" t="n">
        <v>5</v>
      </c>
      <c r="J23" s="20" t="n">
        <v>120</v>
      </c>
      <c r="K23" s="20" t="n">
        <v>119.2</v>
      </c>
      <c r="L23" s="20" t="inlineStr">
        <is>
          <t>Delivered</t>
        </is>
      </c>
      <c r="M23" s="19" t="n">
        <v>46016</v>
      </c>
      <c r="N23" s="31" t="n">
        <v>1</v>
      </c>
      <c r="O23" s="21" t="n">
        <v>10</v>
      </c>
      <c r="P23" s="21">
        <f>K23*O23</f>
        <v/>
      </c>
      <c r="Q23" s="18" t="n"/>
      <c r="R23" s="20" t="inlineStr">
        <is>
          <t>Self</t>
        </is>
      </c>
      <c r="S23" s="20" t="n"/>
      <c r="T23" s="33">
        <f>J23*S23</f>
        <v/>
      </c>
    </row>
    <row r="24" ht="27.6" customFormat="1" customHeight="1" s="26">
      <c r="A24" s="29" t="n">
        <v>12</v>
      </c>
      <c r="B24" s="19" t="n">
        <v>46000</v>
      </c>
      <c r="C24" s="27" t="inlineStr">
        <is>
          <t>Trimurti Enterprises</t>
        </is>
      </c>
      <c r="D24" s="27" t="inlineStr">
        <is>
          <t>D-143, Five Star, MIDC Shendra, Chatrapati Sambhaji Nagar</t>
        </is>
      </c>
      <c r="E24" s="22" t="inlineStr">
        <is>
          <t>Muktaram</t>
        </is>
      </c>
      <c r="F24" s="22" t="n">
        <v>9371794530</v>
      </c>
      <c r="G24" s="20" t="inlineStr">
        <is>
          <t>Aurangabad</t>
        </is>
      </c>
      <c r="H24" s="20" t="inlineStr">
        <is>
          <t>Maharashtra</t>
        </is>
      </c>
      <c r="I24" s="20" t="n">
        <v>208</v>
      </c>
      <c r="J24" s="20" t="n">
        <v>3000</v>
      </c>
      <c r="K24" s="20" t="n">
        <v>3000</v>
      </c>
      <c r="L24" s="20" t="inlineStr">
        <is>
          <t>Delivered</t>
        </is>
      </c>
      <c r="M24" s="19" t="n">
        <v>46001</v>
      </c>
      <c r="N24" s="31">
        <f>M24-B24</f>
        <v/>
      </c>
      <c r="O24" s="21" t="n">
        <v>0</v>
      </c>
      <c r="P24" s="21" t="n">
        <v>15000</v>
      </c>
      <c r="Q24" s="18" t="n"/>
      <c r="R24" s="20" t="inlineStr">
        <is>
          <t>Third Party</t>
        </is>
      </c>
      <c r="S24" s="20" t="n"/>
      <c r="T24" s="33" t="n">
        <v>6000</v>
      </c>
    </row>
    <row r="25" ht="27.6" customFormat="1" customHeight="1" s="26">
      <c r="A25" s="29" t="n">
        <v>13</v>
      </c>
      <c r="B25" s="19" t="n">
        <v>46004</v>
      </c>
      <c r="C25" s="27" t="inlineStr">
        <is>
          <t>Trimurti Enterprises</t>
        </is>
      </c>
      <c r="D25" s="27" t="inlineStr">
        <is>
          <t>D-143, Five Star, MIDC Shendra, Chatrapati Sambhaji Nagar</t>
        </is>
      </c>
      <c r="E25" s="22" t="inlineStr">
        <is>
          <t>Muktaram</t>
        </is>
      </c>
      <c r="F25" s="22" t="n">
        <v>9371794530</v>
      </c>
      <c r="G25" s="20" t="inlineStr">
        <is>
          <t>Aurangabad</t>
        </is>
      </c>
      <c r="H25" s="20" t="inlineStr">
        <is>
          <t>Maharashtra</t>
        </is>
      </c>
      <c r="I25" s="20" t="n">
        <v>102</v>
      </c>
      <c r="J25" s="20" t="n">
        <v>1600</v>
      </c>
      <c r="K25" s="20" t="n"/>
      <c r="L25" s="20" t="inlineStr">
        <is>
          <t>Delivered</t>
        </is>
      </c>
      <c r="M25" s="19" t="n">
        <v>46005</v>
      </c>
      <c r="N25" s="31">
        <f>M25-B25</f>
        <v/>
      </c>
      <c r="O25" s="21" t="inlineStr">
        <is>
          <t>-</t>
        </is>
      </c>
      <c r="P25" s="21" t="n">
        <v>8000</v>
      </c>
      <c r="Q25" s="18" t="n"/>
      <c r="R25" s="20" t="inlineStr">
        <is>
          <t>shreekant</t>
        </is>
      </c>
      <c r="S25" s="20" t="n"/>
      <c r="T25" s="33" t="n">
        <v>240</v>
      </c>
    </row>
    <row r="26" ht="27.6" customFormat="1" customHeight="1" s="26">
      <c r="A26" s="29" t="n">
        <v>23</v>
      </c>
      <c r="B26" s="19" t="n">
        <v>46015</v>
      </c>
      <c r="C26" s="27" t="inlineStr">
        <is>
          <t>Trimurti Enterprises</t>
        </is>
      </c>
      <c r="D26" s="27" t="inlineStr">
        <is>
          <t>D-143, Five Star, MIDC Shendra, Chatrapati Sambhaji Nagar</t>
        </is>
      </c>
      <c r="E26" s="22" t="inlineStr">
        <is>
          <t>Muktaram</t>
        </is>
      </c>
      <c r="F26" s="22" t="n">
        <v>9371794530</v>
      </c>
      <c r="G26" s="20" t="inlineStr">
        <is>
          <t>Aurangabad</t>
        </is>
      </c>
      <c r="H26" s="20" t="inlineStr">
        <is>
          <t>Maharashtra</t>
        </is>
      </c>
      <c r="I26" s="20" t="n">
        <v>73</v>
      </c>
      <c r="J26" s="20" t="n">
        <v>750</v>
      </c>
      <c r="K26" s="20" t="n">
        <v>750</v>
      </c>
      <c r="L26" s="20" t="inlineStr">
        <is>
          <t>Delivered</t>
        </is>
      </c>
      <c r="M26" s="19" t="n">
        <v>46016</v>
      </c>
      <c r="N26" s="31" t="n">
        <v>1</v>
      </c>
      <c r="O26" s="21" t="n">
        <v>10</v>
      </c>
      <c r="P26" s="21" t="n">
        <v>8000</v>
      </c>
      <c r="Q26" s="18" t="n"/>
      <c r="R26" s="20" t="n"/>
      <c r="S26" s="20" t="n"/>
      <c r="T26" s="33" t="n"/>
    </row>
    <row r="27" customFormat="1" s="26">
      <c r="A27" s="29" t="n"/>
      <c r="B27" s="19" t="n"/>
      <c r="C27" s="27" t="n"/>
      <c r="D27" s="27" t="n"/>
      <c r="E27" s="22" t="n"/>
      <c r="F27" s="22" t="n"/>
      <c r="G27" s="20" t="n"/>
      <c r="H27" s="20" t="n"/>
      <c r="I27" s="20" t="n"/>
      <c r="J27" s="20" t="n"/>
      <c r="K27" s="20" t="n"/>
      <c r="L27" s="20" t="n"/>
      <c r="M27" s="19" t="n"/>
      <c r="N27" s="31" t="n"/>
      <c r="O27" s="21" t="n"/>
      <c r="P27" s="21" t="n"/>
      <c r="Q27" s="18" t="n"/>
      <c r="R27" s="20" t="n"/>
      <c r="S27" s="20" t="n"/>
      <c r="T27" s="33" t="n"/>
    </row>
    <row r="28" customFormat="1" s="26">
      <c r="A28" s="29" t="n"/>
      <c r="B28" s="19" t="n"/>
      <c r="C28" s="22" t="n"/>
      <c r="D28" s="22" t="n"/>
      <c r="E28" s="22" t="n"/>
      <c r="F28" s="22" t="n"/>
      <c r="G28" s="20" t="n"/>
      <c r="H28" s="20" t="n"/>
      <c r="I28" s="20" t="n"/>
      <c r="J28" s="20" t="n"/>
      <c r="K28" s="20" t="n"/>
      <c r="L28" s="20" t="n"/>
      <c r="M28" s="19" t="n"/>
      <c r="N28" s="31" t="n"/>
      <c r="O28" s="21" t="n"/>
      <c r="P28" s="21" t="n"/>
      <c r="Q28" s="18" t="n"/>
      <c r="R28" s="20" t="n"/>
      <c r="S28" s="20" t="n"/>
      <c r="T28" s="33" t="n"/>
    </row>
    <row r="29" customFormat="1" s="26">
      <c r="A29" s="29" t="n"/>
      <c r="B29" s="19" t="n"/>
      <c r="C29" s="22" t="n"/>
      <c r="D29" s="22" t="n"/>
      <c r="E29" s="22" t="n"/>
      <c r="F29" s="22" t="n"/>
      <c r="G29" s="20" t="n"/>
      <c r="H29" s="20" t="n"/>
      <c r="I29" s="20" t="n"/>
      <c r="J29" s="20" t="n"/>
      <c r="K29" s="20" t="n"/>
      <c r="L29" s="20" t="n"/>
      <c r="M29" s="19" t="n"/>
      <c r="N29" s="31" t="n"/>
      <c r="O29" s="21" t="n"/>
      <c r="P29" s="21" t="n"/>
      <c r="Q29" s="18" t="n"/>
      <c r="R29" s="20" t="n"/>
      <c r="S29" s="20" t="n"/>
      <c r="T29" s="33" t="n"/>
    </row>
    <row r="30" customFormat="1" s="26">
      <c r="A30" s="29" t="n"/>
      <c r="B30" s="23" t="n"/>
      <c r="C30" s="24" t="n"/>
      <c r="D30" s="24" t="n"/>
      <c r="E30" s="24" t="n"/>
      <c r="F30" s="24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5" t="n"/>
      <c r="P30" s="25">
        <f>SUM(P2:P25)</f>
        <v/>
      </c>
      <c r="Q30" s="18" t="n"/>
      <c r="R30" s="20" t="n"/>
      <c r="S30" s="20" t="n"/>
      <c r="T30" s="33">
        <f>SUM(T2:T25)</f>
        <v/>
      </c>
    </row>
    <row r="32" customFormat="1" s="26">
      <c r="A32" s="18" t="n"/>
      <c r="B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20" t="inlineStr">
        <is>
          <t>Vehicle Rent</t>
        </is>
      </c>
      <c r="T32" s="33" t="n">
        <v>30000</v>
      </c>
    </row>
    <row r="33" customFormat="1" s="26">
      <c r="A33" s="18" t="n"/>
      <c r="B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20" t="inlineStr">
        <is>
          <t>CNG - Wk 1</t>
        </is>
      </c>
      <c r="T33" s="20" t="n">
        <v>4719</v>
      </c>
    </row>
    <row r="34" customFormat="1" s="26">
      <c r="A34" s="18" t="n"/>
      <c r="B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20" t="inlineStr">
        <is>
          <t>CNG - Wk 2</t>
        </is>
      </c>
      <c r="T34" s="20" t="n">
        <v>4166</v>
      </c>
    </row>
    <row r="35" customFormat="1" s="26">
      <c r="A35" s="18" t="n"/>
      <c r="B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20" t="inlineStr">
        <is>
          <t>CNG - Wk 3</t>
        </is>
      </c>
      <c r="T35" s="20" t="n">
        <v>3035</v>
      </c>
    </row>
    <row r="36" customFormat="1" s="26">
      <c r="A36" s="18" t="n"/>
      <c r="B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20" t="inlineStr">
        <is>
          <t>CNG - Wk 4</t>
        </is>
      </c>
      <c r="T36" s="20" t="n">
        <v>4677</v>
      </c>
    </row>
    <row r="37" customFormat="1" s="26">
      <c r="A37" s="18" t="n"/>
      <c r="B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35" t="inlineStr">
        <is>
          <t>Total Expense</t>
        </is>
      </c>
      <c r="T37" s="36">
        <f>SUM(T30:T36)</f>
        <v/>
      </c>
    </row>
    <row r="39" customFormat="1" s="26">
      <c r="A39" s="18" t="n"/>
      <c r="B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35" t="inlineStr">
        <is>
          <t>Total Profit</t>
        </is>
      </c>
      <c r="T39" s="36">
        <f>P30-T37</f>
        <v/>
      </c>
    </row>
  </sheetData>
  <autoFilter ref="A1:P13">
    <sortState ref="A2:P26">
      <sortCondition ref="C1:C13"/>
    </sortState>
  </autoFilter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3"/>
  <sheetViews>
    <sheetView topLeftCell="A15" workbookViewId="0">
      <selection activeCell="C25" sqref="C25"/>
    </sheetView>
  </sheetViews>
  <sheetFormatPr baseColWidth="8" defaultColWidth="8.88671875" defaultRowHeight="13.8"/>
  <cols>
    <col width="5.33203125" customWidth="1" style="47" min="1" max="1"/>
    <col width="12.33203125" customWidth="1" style="47" min="2" max="2"/>
    <col width="25.44140625" customWidth="1" style="43" min="3" max="3"/>
    <col width="33.109375" customWidth="1" style="43" min="4" max="4"/>
    <col width="14" customWidth="1" style="43" min="5" max="5"/>
    <col width="12.33203125" customWidth="1" style="43" min="6" max="6"/>
    <col width="11.6640625" customWidth="1" style="47" min="7" max="7"/>
    <col width="12.33203125" customWidth="1" style="47" min="8" max="8"/>
    <col width="9" customWidth="1" style="47" min="9" max="9"/>
    <col width="7.88671875" customWidth="1" style="47" min="10" max="10"/>
    <col width="9" customWidth="1" style="47" min="11" max="11"/>
    <col width="10.44140625" bestFit="1" customWidth="1" style="47" min="12" max="12"/>
    <col width="10.33203125" customWidth="1" style="47" min="13" max="13"/>
    <col width="8.6640625" customWidth="1" style="47" min="14" max="14"/>
    <col width="9" customWidth="1" style="47" min="15" max="15"/>
    <col width="11.33203125" bestFit="1" customWidth="1" style="47" min="16" max="16"/>
    <col width="1.88671875" customWidth="1" style="47" min="17" max="17"/>
    <col width="12" bestFit="1" customWidth="1" style="47" min="18" max="18"/>
    <col width="13.33203125" customWidth="1" style="47" min="19" max="19"/>
    <col width="12.44140625" bestFit="1" customWidth="1" style="47" min="20" max="20"/>
    <col width="20.6640625" customWidth="1" style="43" min="21" max="21"/>
    <col width="8.88671875" customWidth="1" style="47" min="22" max="22"/>
    <col width="8.88671875" customWidth="1" style="47" min="23" max="16384"/>
  </cols>
  <sheetData>
    <row r="1" ht="41.4" customFormat="1" customHeight="1" s="43">
      <c r="A1" s="30" t="inlineStr">
        <is>
          <t>#</t>
        </is>
      </c>
      <c r="B1" s="30" t="inlineStr">
        <is>
          <t>Pickup Request Date</t>
        </is>
      </c>
      <c r="C1" s="30" t="inlineStr">
        <is>
          <t>Name</t>
        </is>
      </c>
      <c r="D1" s="30" t="inlineStr">
        <is>
          <t>Address</t>
        </is>
      </c>
      <c r="E1" s="30" t="inlineStr">
        <is>
          <t>Contact Person</t>
        </is>
      </c>
      <c r="F1" s="30" t="inlineStr">
        <is>
          <t>Contact Number</t>
        </is>
      </c>
      <c r="G1" s="30" t="inlineStr">
        <is>
          <t>City</t>
        </is>
      </c>
      <c r="H1" s="30" t="inlineStr">
        <is>
          <t>State</t>
        </is>
      </c>
      <c r="I1" s="30" t="inlineStr">
        <is>
          <t>No Of Boxes</t>
        </is>
      </c>
      <c r="J1" s="30" t="inlineStr">
        <is>
          <t>Weight as per EcoFleet</t>
        </is>
      </c>
      <c r="K1" s="30" t="inlineStr">
        <is>
          <t>Weight as per Optlog</t>
        </is>
      </c>
      <c r="L1" s="30" t="inlineStr">
        <is>
          <t>Status</t>
        </is>
      </c>
      <c r="M1" s="30" t="inlineStr">
        <is>
          <t xml:space="preserve">Delivered on </t>
        </is>
      </c>
      <c r="N1" s="30" t="inlineStr">
        <is>
          <t>TAT</t>
        </is>
      </c>
      <c r="O1" s="30" t="inlineStr">
        <is>
          <t>Rate</t>
        </is>
      </c>
      <c r="P1" s="30" t="inlineStr">
        <is>
          <t>Amount</t>
        </is>
      </c>
      <c r="R1" s="30" t="inlineStr">
        <is>
          <t>Vendor</t>
        </is>
      </c>
      <c r="S1" s="30" t="inlineStr">
        <is>
          <t>Vendor Rate</t>
        </is>
      </c>
      <c r="T1" s="30" t="inlineStr">
        <is>
          <t>CNG Paid &amp; Vendor Payment</t>
        </is>
      </c>
    </row>
    <row r="2" ht="27.6" customFormat="1" customHeight="1" s="43">
      <c r="A2" s="29" t="n">
        <v>6</v>
      </c>
      <c r="B2" s="44" t="n">
        <v>46028</v>
      </c>
      <c r="C2" s="45" t="inlineStr">
        <is>
          <t>ASTRA AUTOLITES</t>
        </is>
      </c>
      <c r="D2" s="45" t="inlineStr">
        <is>
          <t>GAT NO, 139B, ALANDI MARKAL ROAD, PUNE - 412105</t>
        </is>
      </c>
      <c r="E2" s="45" t="inlineStr">
        <is>
          <t>Flavia</t>
        </is>
      </c>
      <c r="F2" s="45" t="n">
        <v>9960525493</v>
      </c>
      <c r="G2" s="29" t="inlineStr">
        <is>
          <t>Pune</t>
        </is>
      </c>
      <c r="H2" s="29" t="inlineStr">
        <is>
          <t>Maharashtra</t>
        </is>
      </c>
      <c r="I2" s="29" t="n">
        <v>13</v>
      </c>
      <c r="J2" s="29" t="n">
        <v>120</v>
      </c>
      <c r="K2" s="29" t="n">
        <v>120</v>
      </c>
      <c r="L2" s="29" t="inlineStr">
        <is>
          <t>Delivered</t>
        </is>
      </c>
      <c r="M2" s="41" t="n">
        <v>46029</v>
      </c>
      <c r="N2" s="39" t="n">
        <v>1</v>
      </c>
      <c r="O2" s="46" t="n">
        <v>10</v>
      </c>
      <c r="P2" s="46">
        <f>O2*K2</f>
        <v/>
      </c>
      <c r="Q2" s="47" t="n"/>
      <c r="R2" s="29" t="n"/>
      <c r="S2" s="29" t="n"/>
      <c r="T2" s="42" t="n"/>
    </row>
    <row r="3" ht="27.6" customFormat="1" customHeight="1" s="43">
      <c r="A3" s="29" t="n">
        <v>9</v>
      </c>
      <c r="B3" s="44" t="n">
        <v>46030</v>
      </c>
      <c r="C3" s="45" t="inlineStr">
        <is>
          <t>FERYEZ POLYMER PVT LTD</t>
        </is>
      </c>
      <c r="D3" s="45" t="inlineStr">
        <is>
          <t>SR.NO.172, CHICHWADGAON, PUNE 411033 MAHARASHTRA</t>
        </is>
      </c>
      <c r="E3" s="45" t="inlineStr">
        <is>
          <t xml:space="preserve">Sandip </t>
        </is>
      </c>
      <c r="F3" s="45" t="n">
        <v>9503161311</v>
      </c>
      <c r="G3" s="29" t="inlineStr">
        <is>
          <t>Pune</t>
        </is>
      </c>
      <c r="H3" s="29" t="inlineStr">
        <is>
          <t>Maharashtra</t>
        </is>
      </c>
      <c r="I3" s="29" t="n">
        <v>23</v>
      </c>
      <c r="J3" s="29" t="n">
        <v>650</v>
      </c>
      <c r="K3" s="29" t="n">
        <v>650</v>
      </c>
      <c r="L3" s="29" t="inlineStr">
        <is>
          <t>Delivered</t>
        </is>
      </c>
      <c r="M3" s="44" t="n">
        <v>46030</v>
      </c>
      <c r="N3" s="39" t="n">
        <v>0</v>
      </c>
      <c r="O3" s="46" t="n">
        <v>10</v>
      </c>
      <c r="P3" s="46">
        <f>O3*K3</f>
        <v/>
      </c>
      <c r="Q3" s="47" t="n"/>
      <c r="R3" s="29" t="n"/>
      <c r="S3" s="29" t="n"/>
      <c r="T3" s="42" t="n"/>
    </row>
    <row r="4" ht="27.6" customHeight="1">
      <c r="A4" s="29" t="n">
        <v>18</v>
      </c>
      <c r="B4" s="41" t="n">
        <v>46042</v>
      </c>
      <c r="C4" s="45" t="inlineStr">
        <is>
          <t>FERYEZ POLYMER PVT LTD</t>
        </is>
      </c>
      <c r="D4" s="45" t="inlineStr">
        <is>
          <t>SR.NO.172, CHICHWADGAON, PUNE 411033 MAHARASHTRA</t>
        </is>
      </c>
      <c r="E4" s="45" t="inlineStr">
        <is>
          <t xml:space="preserve">Sandip </t>
        </is>
      </c>
      <c r="F4" s="45" t="n">
        <v>9503161311</v>
      </c>
      <c r="G4" s="29" t="inlineStr">
        <is>
          <t>Pune</t>
        </is>
      </c>
      <c r="H4" s="29" t="inlineStr">
        <is>
          <t>Maharashtra</t>
        </is>
      </c>
      <c r="I4" s="29" t="n">
        <v>44</v>
      </c>
      <c r="J4" s="29" t="n">
        <v>1000</v>
      </c>
      <c r="K4" s="29" t="n">
        <v>1000</v>
      </c>
      <c r="L4" s="29" t="inlineStr">
        <is>
          <t>Delivered</t>
        </is>
      </c>
      <c r="M4" s="41" t="n">
        <v>46042</v>
      </c>
      <c r="N4" s="39" t="n">
        <v>0</v>
      </c>
      <c r="O4" s="46" t="n">
        <v>10</v>
      </c>
      <c r="P4" s="46">
        <f>O4*K4</f>
        <v/>
      </c>
      <c r="Q4" s="29" t="n"/>
      <c r="R4" s="29" t="n"/>
      <c r="S4" s="29" t="n"/>
      <c r="T4" s="42" t="n"/>
    </row>
    <row r="5" ht="27.6" customHeight="1">
      <c r="A5" s="29" t="n">
        <v>15</v>
      </c>
      <c r="B5" s="41" t="n">
        <v>46035</v>
      </c>
      <c r="C5" s="45" t="inlineStr">
        <is>
          <t>JAI BHAVANI MATA ENGITECH PRIVATE LIMITED</t>
        </is>
      </c>
      <c r="D5" s="45" t="inlineStr">
        <is>
          <t>681, LANDEWADI, BHOSARI . BHOSARI , PUNE – 411026</t>
        </is>
      </c>
      <c r="E5" s="45" t="inlineStr">
        <is>
          <t>Balaji</t>
        </is>
      </c>
      <c r="F5" s="45" t="n">
        <v>9765567788</v>
      </c>
      <c r="G5" s="29" t="inlineStr">
        <is>
          <t>Pune</t>
        </is>
      </c>
      <c r="H5" s="29" t="inlineStr">
        <is>
          <t>Maharashtra</t>
        </is>
      </c>
      <c r="I5" s="29" t="n">
        <v>7</v>
      </c>
      <c r="J5" s="29" t="n">
        <v>100</v>
      </c>
      <c r="K5" s="29" t="n">
        <v>100</v>
      </c>
      <c r="L5" s="29" t="inlineStr">
        <is>
          <t>Delivered</t>
        </is>
      </c>
      <c r="M5" s="41" t="n">
        <v>46041</v>
      </c>
      <c r="N5" s="39" t="n">
        <v>6</v>
      </c>
      <c r="O5" s="46" t="n">
        <v>10</v>
      </c>
      <c r="P5" s="46">
        <f>O5*K5</f>
        <v/>
      </c>
      <c r="Q5" s="29" t="n"/>
      <c r="R5" s="29" t="n"/>
      <c r="S5" s="29" t="n"/>
      <c r="T5" s="42" t="n"/>
    </row>
    <row r="6" ht="41.4" customFormat="1" customHeight="1" s="43">
      <c r="A6" s="29" t="n">
        <v>11</v>
      </c>
      <c r="B6" s="44" t="n">
        <v>46030</v>
      </c>
      <c r="C6" s="45" t="inlineStr">
        <is>
          <t>LALIT INDUSTRIES BULIDING</t>
        </is>
      </c>
      <c r="D6" s="45" t="inlineStr">
        <is>
          <t>NO.6, GALA NO 101, MITTAL INDUSTRIES ESTATE, ANDHERI KURLA ROAD, M.V. ROAD, MUMBAI 400059</t>
        </is>
      </c>
      <c r="E6" s="29" t="inlineStr">
        <is>
          <t>Rakesh</t>
        </is>
      </c>
      <c r="F6" s="45" t="n">
        <v>7021056086</v>
      </c>
      <c r="G6" s="29" t="inlineStr">
        <is>
          <t>Mumbai</t>
        </is>
      </c>
      <c r="H6" s="29" t="inlineStr">
        <is>
          <t>Maharashtra</t>
        </is>
      </c>
      <c r="I6" s="29" t="n">
        <v>101</v>
      </c>
      <c r="J6" s="29" t="n">
        <v>1400</v>
      </c>
      <c r="K6" s="29" t="n">
        <v>1400</v>
      </c>
      <c r="L6" s="29" t="inlineStr">
        <is>
          <t>Delivered</t>
        </is>
      </c>
      <c r="M6" s="44" t="n">
        <v>46031</v>
      </c>
      <c r="N6" s="39" t="n">
        <v>1</v>
      </c>
      <c r="O6" s="46" t="n">
        <v>10</v>
      </c>
      <c r="P6" s="46">
        <f>O6*K6</f>
        <v/>
      </c>
      <c r="Q6" s="47" t="n"/>
      <c r="R6" s="29" t="inlineStr">
        <is>
          <t>ANANDH FAND</t>
        </is>
      </c>
      <c r="S6" s="29" t="inlineStr">
        <is>
          <t>FTL</t>
        </is>
      </c>
      <c r="T6" s="42" t="n">
        <v>10000</v>
      </c>
    </row>
    <row r="7" ht="41.4" customFormat="1" customHeight="1" s="43">
      <c r="A7" s="29" t="n">
        <v>8</v>
      </c>
      <c r="B7" s="44" t="n">
        <v>46029</v>
      </c>
      <c r="C7" s="45" t="inlineStr">
        <is>
          <t>NIKY PRECISION ENGINEERS PRIVATE LIMITED</t>
        </is>
      </c>
      <c r="D7" s="45" t="inlineStr">
        <is>
          <t xml:space="preserve"> PLOT NO 15, GALA NO 1, 3, 5, 7, PLOT NO 9, S NO 38/2/18, 16, NARHE, PUNE-411041</t>
        </is>
      </c>
      <c r="E7" s="45" t="inlineStr">
        <is>
          <t>Jeevan</t>
        </is>
      </c>
      <c r="F7" s="45" t="n">
        <v>8446006021</v>
      </c>
      <c r="G7" s="29" t="inlineStr">
        <is>
          <t>Pune</t>
        </is>
      </c>
      <c r="H7" s="29" t="inlineStr">
        <is>
          <t>Maharashtra</t>
        </is>
      </c>
      <c r="I7" s="29" t="n">
        <v>77</v>
      </c>
      <c r="J7" s="29" t="n">
        <v>400</v>
      </c>
      <c r="K7" s="29" t="n">
        <v>400</v>
      </c>
      <c r="L7" s="29" t="inlineStr">
        <is>
          <t>Delivered</t>
        </is>
      </c>
      <c r="M7" s="41" t="n">
        <v>46029</v>
      </c>
      <c r="N7" s="39" t="n">
        <v>0</v>
      </c>
      <c r="O7" s="46" t="n">
        <v>10</v>
      </c>
      <c r="P7" s="46">
        <f>O7*K7</f>
        <v/>
      </c>
      <c r="Q7" s="47" t="n"/>
      <c r="R7" s="29" t="n"/>
      <c r="S7" s="29" t="n"/>
      <c r="T7" s="42" t="n"/>
    </row>
    <row r="8" ht="41.4" customFormat="1" customHeight="1" s="43">
      <c r="A8" s="29" t="n">
        <v>10</v>
      </c>
      <c r="B8" s="44" t="n">
        <v>46030</v>
      </c>
      <c r="C8" s="45" t="inlineStr">
        <is>
          <t>NIKY PRECISION ENGINEERS PRIVATE LIMITED</t>
        </is>
      </c>
      <c r="D8" s="45" t="inlineStr">
        <is>
          <t xml:space="preserve"> PLOT NO 15, GALA NO 1, 3, 5, 7, PLOT NO 9, S NO 38/2/18, 16, NARHE, PUNE-411041</t>
        </is>
      </c>
      <c r="E8" s="45" t="inlineStr">
        <is>
          <t>Jeevan</t>
        </is>
      </c>
      <c r="F8" s="45" t="n">
        <v>8446006021</v>
      </c>
      <c r="G8" s="29" t="inlineStr">
        <is>
          <t>Pune</t>
        </is>
      </c>
      <c r="H8" s="29" t="inlineStr">
        <is>
          <t>Maharashtra</t>
        </is>
      </c>
      <c r="I8" s="29" t="n">
        <v>20</v>
      </c>
      <c r="J8" s="29" t="n">
        <v>400</v>
      </c>
      <c r="K8" s="29" t="n">
        <v>400</v>
      </c>
      <c r="L8" s="29" t="inlineStr">
        <is>
          <t>Delivered</t>
        </is>
      </c>
      <c r="M8" s="44" t="n">
        <v>46030</v>
      </c>
      <c r="N8" s="39" t="n">
        <v>0</v>
      </c>
      <c r="O8" s="46" t="n">
        <v>10</v>
      </c>
      <c r="P8" s="46">
        <f>O8*K8</f>
        <v/>
      </c>
      <c r="Q8" s="47" t="n"/>
      <c r="R8" s="29" t="n"/>
      <c r="S8" s="29" t="n"/>
      <c r="T8" s="42" t="n"/>
    </row>
    <row r="9" ht="41.4" customFormat="1" customHeight="1" s="43">
      <c r="A9" s="29" t="n">
        <v>21</v>
      </c>
      <c r="B9" s="41" t="n">
        <v>46044</v>
      </c>
      <c r="C9" s="45" t="inlineStr">
        <is>
          <t>NIKY PRECISION ENGINEERS PRIVATE LIMITED</t>
        </is>
      </c>
      <c r="D9" s="45" t="inlineStr">
        <is>
          <t xml:space="preserve"> PLOT NO 15, GALA NO 1, 3, 5, 7, PLOT NO 9, S NO 38/2/18, 16, NARHE, PUNE-411041</t>
        </is>
      </c>
      <c r="E9" s="45" t="inlineStr">
        <is>
          <t>Jeevan</t>
        </is>
      </c>
      <c r="F9" s="45" t="n">
        <v>8446006021</v>
      </c>
      <c r="G9" s="29" t="inlineStr">
        <is>
          <t>Pune</t>
        </is>
      </c>
      <c r="H9" s="29" t="inlineStr">
        <is>
          <t>Maharashtra</t>
        </is>
      </c>
      <c r="I9" s="29" t="n">
        <v>13</v>
      </c>
      <c r="J9" s="29" t="n">
        <v>130</v>
      </c>
      <c r="K9" s="29" t="n">
        <v>130</v>
      </c>
      <c r="L9" s="29" t="inlineStr">
        <is>
          <t>Delivered</t>
        </is>
      </c>
      <c r="M9" s="41" t="n">
        <v>46046</v>
      </c>
      <c r="N9" s="39" t="n">
        <v>2</v>
      </c>
      <c r="O9" s="46" t="n">
        <v>10</v>
      </c>
      <c r="P9" s="46">
        <f>O9*K9</f>
        <v/>
      </c>
      <c r="Q9" s="47" t="n"/>
      <c r="R9" s="29" t="n"/>
      <c r="S9" s="29" t="n"/>
      <c r="T9" s="42" t="n"/>
    </row>
    <row r="10" ht="41.4" customFormat="1" customHeight="1" s="43">
      <c r="A10" s="29" t="n">
        <v>2</v>
      </c>
      <c r="B10" s="44" t="n">
        <v>46027</v>
      </c>
      <c r="C10" s="45" t="inlineStr">
        <is>
          <t>NIKY PRECISION(MULAY POLYMERS PVT. LTD.)</t>
        </is>
      </c>
      <c r="D10" s="45" t="inlineStr">
        <is>
          <t>Gat No 679/2/1 Plot No. 30/6, Chakan Alandi Road, Tal.-Khed Dist.-Pune-410501.</t>
        </is>
      </c>
      <c r="E10" s="45" t="inlineStr">
        <is>
          <t xml:space="preserve">Rajkumar </t>
        </is>
      </c>
      <c r="F10" s="45" t="n">
        <v>9156575795</v>
      </c>
      <c r="G10" s="29" t="inlineStr">
        <is>
          <t>Pune</t>
        </is>
      </c>
      <c r="H10" s="29" t="inlineStr">
        <is>
          <t>Maharashtra</t>
        </is>
      </c>
      <c r="I10" s="29" t="n">
        <v>54</v>
      </c>
      <c r="J10" s="29" t="n">
        <v>520</v>
      </c>
      <c r="K10" s="29" t="n">
        <v>520</v>
      </c>
      <c r="L10" s="29" t="inlineStr">
        <is>
          <t>Delivered</t>
        </is>
      </c>
      <c r="M10" s="44" t="n">
        <v>46027</v>
      </c>
      <c r="N10" s="39" t="n">
        <v>0</v>
      </c>
      <c r="O10" s="46" t="n">
        <v>10</v>
      </c>
      <c r="P10" s="46" t="n">
        <v>5200</v>
      </c>
      <c r="Q10" s="47" t="n"/>
      <c r="R10" s="29" t="n"/>
      <c r="S10" s="29" t="n"/>
      <c r="T10" s="42" t="n"/>
    </row>
    <row r="11" ht="41.4" customFormat="1" customHeight="1" s="43">
      <c r="A11" s="29" t="n">
        <v>5</v>
      </c>
      <c r="B11" s="44" t="n">
        <v>46028</v>
      </c>
      <c r="C11" s="45" t="inlineStr">
        <is>
          <t>NIKY PRECISION(MULAY POLYMERS PVT. LTD.)</t>
        </is>
      </c>
      <c r="D11" s="45" t="inlineStr">
        <is>
          <t>Gat No 679/2/1 Plot No. 30/6, Chakan Alandi Road, Tal.-Khed Dist.-Pune-410501.</t>
        </is>
      </c>
      <c r="E11" s="45" t="inlineStr">
        <is>
          <t xml:space="preserve">Rajkumar </t>
        </is>
      </c>
      <c r="F11" s="45" t="n">
        <v>9156575795</v>
      </c>
      <c r="G11" s="29" t="inlineStr">
        <is>
          <t>Pune</t>
        </is>
      </c>
      <c r="H11" s="29" t="inlineStr">
        <is>
          <t>Maharashtra</t>
        </is>
      </c>
      <c r="I11" s="29" t="n">
        <v>42</v>
      </c>
      <c r="J11" s="29" t="n">
        <v>420</v>
      </c>
      <c r="K11" s="29" t="n">
        <v>420</v>
      </c>
      <c r="L11" s="29" t="inlineStr">
        <is>
          <t>Delivered</t>
        </is>
      </c>
      <c r="M11" s="44" t="n">
        <v>46028</v>
      </c>
      <c r="N11" s="39" t="n">
        <v>0</v>
      </c>
      <c r="O11" s="46" t="n">
        <v>10</v>
      </c>
      <c r="P11" s="46">
        <f>O11*K11</f>
        <v/>
      </c>
      <c r="Q11" s="47" t="n"/>
      <c r="R11" s="29" t="n"/>
      <c r="S11" s="29" t="n"/>
      <c r="T11" s="42" t="n"/>
    </row>
    <row r="12" ht="41.4" customFormat="1" customHeight="1" s="43">
      <c r="A12" s="29" t="n">
        <v>13</v>
      </c>
      <c r="B12" s="44" t="n">
        <v>46031</v>
      </c>
      <c r="C12" s="45" t="inlineStr">
        <is>
          <t>NIKY PRECISION(MULAY POLYMERS PVT. LTD.)</t>
        </is>
      </c>
      <c r="D12" s="45" t="inlineStr">
        <is>
          <t>Gat No 679/2/1 Plot No. 30/6, Chakan Alandi Road, Tal.-Khed Dist.-Pune-410501.</t>
        </is>
      </c>
      <c r="E12" s="43" t="inlineStr">
        <is>
          <t xml:space="preserve">Rajkumar </t>
        </is>
      </c>
      <c r="F12" s="45" t="n">
        <v>9156575795</v>
      </c>
      <c r="G12" s="29" t="inlineStr">
        <is>
          <t>Pune</t>
        </is>
      </c>
      <c r="H12" s="29" t="inlineStr">
        <is>
          <t>Maharashtra</t>
        </is>
      </c>
      <c r="I12" s="29" t="n">
        <v>36</v>
      </c>
      <c r="J12" s="29" t="n">
        <v>360</v>
      </c>
      <c r="K12" s="29" t="n">
        <v>360</v>
      </c>
      <c r="L12" s="29" t="inlineStr">
        <is>
          <t>Delivered</t>
        </is>
      </c>
      <c r="M12" s="44" t="n">
        <v>46031</v>
      </c>
      <c r="N12" s="39" t="n">
        <v>0</v>
      </c>
      <c r="O12" s="46" t="n">
        <v>10</v>
      </c>
      <c r="P12" s="46">
        <f>O12*K12</f>
        <v/>
      </c>
      <c r="Q12" s="47" t="n"/>
      <c r="R12" s="29" t="n"/>
      <c r="S12" s="29" t="n"/>
      <c r="T12" s="42" t="n"/>
    </row>
    <row r="13" ht="31.95" customFormat="1" customHeight="1" s="43">
      <c r="A13" s="29" t="n">
        <v>20</v>
      </c>
      <c r="B13" s="41" t="n">
        <v>46043</v>
      </c>
      <c r="C13" s="45" t="inlineStr">
        <is>
          <t>NIKY PRECISION(MULAY POLYMERS PVT. LTD.)</t>
        </is>
      </c>
      <c r="D13" s="45" t="inlineStr">
        <is>
          <t>Gat No 679/2/1 Plot No. 30/6, Chakan Alandi Road, Tal.-Khed Dist.-Pune-410501.</t>
        </is>
      </c>
      <c r="E13" s="45" t="inlineStr">
        <is>
          <t xml:space="preserve">Rajkumar </t>
        </is>
      </c>
      <c r="F13" s="45" t="n">
        <v>9156575795</v>
      </c>
      <c r="G13" s="29" t="inlineStr">
        <is>
          <t>Pune</t>
        </is>
      </c>
      <c r="H13" s="29" t="inlineStr">
        <is>
          <t>Maharashtra</t>
        </is>
      </c>
      <c r="I13" s="29" t="n">
        <v>46</v>
      </c>
      <c r="J13" s="29" t="n">
        <v>500</v>
      </c>
      <c r="K13" s="29" t="n">
        <v>500</v>
      </c>
      <c r="L13" s="29" t="inlineStr">
        <is>
          <t>Delivered</t>
        </is>
      </c>
      <c r="M13" s="41" t="n">
        <v>46043</v>
      </c>
      <c r="N13" s="39" t="n">
        <v>0</v>
      </c>
      <c r="O13" s="46" t="n">
        <v>10</v>
      </c>
      <c r="P13" s="46">
        <f>O13*K13</f>
        <v/>
      </c>
      <c r="Q13" s="47" t="n"/>
      <c r="R13" s="29" t="n"/>
      <c r="S13" s="29" t="n"/>
      <c r="T13" s="42" t="n"/>
    </row>
    <row r="14" ht="27.6" customFormat="1" customHeight="1" s="43">
      <c r="A14" s="29" t="n">
        <v>17</v>
      </c>
      <c r="B14" s="41" t="n">
        <v>46041</v>
      </c>
      <c r="C14" s="45" t="inlineStr">
        <is>
          <t>Perfect Cam Profile Pvt Ltd</t>
        </is>
      </c>
      <c r="D14" s="45" t="inlineStr">
        <is>
          <t>Address: Plot No S 55, Bhosari Industrial Estate, Pune - 411026</t>
        </is>
      </c>
      <c r="E14" s="45" t="inlineStr">
        <is>
          <t>Mehul Patel</t>
        </is>
      </c>
      <c r="F14" s="45" t="n">
        <v>9860040965</v>
      </c>
      <c r="G14" s="29" t="inlineStr">
        <is>
          <t>Pune</t>
        </is>
      </c>
      <c r="H14" s="29" t="inlineStr">
        <is>
          <t>Maharashtra</t>
        </is>
      </c>
      <c r="I14" s="29" t="n">
        <v>143</v>
      </c>
      <c r="J14" s="29" t="n">
        <v>2288</v>
      </c>
      <c r="K14" s="29" t="n">
        <v>2173</v>
      </c>
      <c r="L14" s="29" t="inlineStr">
        <is>
          <t>Delivered</t>
        </is>
      </c>
      <c r="M14" s="41" t="n">
        <v>46041</v>
      </c>
      <c r="N14" s="39" t="n">
        <v>0</v>
      </c>
      <c r="O14" s="46" t="n">
        <v>10</v>
      </c>
      <c r="P14" s="46">
        <f>O14*K14</f>
        <v/>
      </c>
      <c r="Q14" s="47" t="n"/>
      <c r="R14" s="29" t="n"/>
      <c r="S14" s="29" t="n"/>
      <c r="T14" s="42" t="n"/>
    </row>
    <row r="15" ht="27.6" customFormat="1" customHeight="1" s="43">
      <c r="A15" s="29" t="n">
        <v>22</v>
      </c>
      <c r="B15" s="41" t="n">
        <v>46052</v>
      </c>
      <c r="C15" s="45" t="inlineStr">
        <is>
          <t>Perfect Cam Profile Pvt Ltd</t>
        </is>
      </c>
      <c r="D15" s="45" t="inlineStr">
        <is>
          <t>Address: Plot No S 55, Bhosari Industrial Estate, Pune - 411026</t>
        </is>
      </c>
      <c r="E15" s="45" t="inlineStr">
        <is>
          <t>Mehul Patel</t>
        </is>
      </c>
      <c r="F15" s="45" t="inlineStr">
        <is>
          <t>9860040965/7436901742</t>
        </is>
      </c>
      <c r="G15" s="29" t="inlineStr">
        <is>
          <t>Pune</t>
        </is>
      </c>
      <c r="H15" s="29" t="inlineStr">
        <is>
          <t>Maharashtra</t>
        </is>
      </c>
      <c r="I15" s="29" t="n">
        <v>90</v>
      </c>
      <c r="J15" s="29" t="n">
        <v>1368</v>
      </c>
      <c r="K15" s="29" t="n">
        <v>1368</v>
      </c>
      <c r="L15" s="29" t="inlineStr">
        <is>
          <t>Delivered</t>
        </is>
      </c>
      <c r="M15" s="41" t="n">
        <v>46052</v>
      </c>
      <c r="N15" s="39" t="n">
        <v>0</v>
      </c>
      <c r="O15" s="46" t="n">
        <v>10</v>
      </c>
      <c r="P15" s="46">
        <f>O15*K15</f>
        <v/>
      </c>
      <c r="Q15" s="47" t="n"/>
      <c r="R15" s="29" t="n"/>
      <c r="S15" s="29" t="n"/>
      <c r="T15" s="42" t="n"/>
      <c r="U15" s="43" t="inlineStr">
        <is>
          <t>lr no 2025-26/026</t>
        </is>
      </c>
    </row>
    <row r="16" ht="27.6" customFormat="1" customHeight="1" s="43">
      <c r="A16" s="29" t="n">
        <v>7</v>
      </c>
      <c r="B16" s="44" t="n">
        <v>46029</v>
      </c>
      <c r="C16" s="45" t="inlineStr">
        <is>
          <t>PREMIER SEALS INDIA PRIVATE LTD</t>
        </is>
      </c>
      <c r="D16" s="45" t="inlineStr">
        <is>
          <t>20/8, D-1 BLOCK, MIDC, CHINCHWAD, PUNE MAHARASHTRA 411019</t>
        </is>
      </c>
      <c r="E16" s="45" t="inlineStr">
        <is>
          <t xml:space="preserve">Mita </t>
        </is>
      </c>
      <c r="F16" s="45" t="n">
        <v>8956347535</v>
      </c>
      <c r="G16" s="29" t="inlineStr">
        <is>
          <t>Pune</t>
        </is>
      </c>
      <c r="H16" s="29" t="inlineStr">
        <is>
          <t>Maharashtra</t>
        </is>
      </c>
      <c r="I16" s="29" t="n">
        <v>100</v>
      </c>
      <c r="J16" s="29" t="n">
        <v>650</v>
      </c>
      <c r="K16" s="29" t="n">
        <v>650</v>
      </c>
      <c r="L16" s="29" t="inlineStr">
        <is>
          <t>Delivered</t>
        </is>
      </c>
      <c r="M16" s="41" t="n">
        <v>46029</v>
      </c>
      <c r="N16" s="39" t="n">
        <v>0</v>
      </c>
      <c r="O16" s="46" t="n">
        <v>10</v>
      </c>
      <c r="P16" s="46">
        <f>O16*K16</f>
        <v/>
      </c>
      <c r="Q16" s="47" t="n"/>
      <c r="R16" s="29" t="n"/>
      <c r="S16" s="29" t="n"/>
      <c r="T16" s="42" t="n"/>
    </row>
    <row r="17" ht="27.6" customFormat="1" customHeight="1" s="43">
      <c r="A17" s="29" t="n">
        <v>19</v>
      </c>
      <c r="B17" s="41" t="n">
        <v>46043</v>
      </c>
      <c r="C17" s="45" t="inlineStr">
        <is>
          <t>PREMIER SEALS INDIA PRIVATE LTD</t>
        </is>
      </c>
      <c r="D17" s="45" t="inlineStr">
        <is>
          <t>20/8, D-1 BLOCK, MIDC, CHINCHWAD, PUNE MAHARASHTRA 411019</t>
        </is>
      </c>
      <c r="E17" s="45" t="inlineStr">
        <is>
          <t xml:space="preserve">Mita </t>
        </is>
      </c>
      <c r="F17" s="45" t="n">
        <v>8956347535</v>
      </c>
      <c r="G17" s="29" t="inlineStr">
        <is>
          <t>Pune</t>
        </is>
      </c>
      <c r="H17" s="29" t="inlineStr">
        <is>
          <t>Maharashtra</t>
        </is>
      </c>
      <c r="I17" s="29" t="n">
        <v>7</v>
      </c>
      <c r="J17" s="29" t="n">
        <v>110</v>
      </c>
      <c r="K17" s="29" t="n">
        <v>110</v>
      </c>
      <c r="L17" s="29" t="inlineStr">
        <is>
          <t>Delivered</t>
        </is>
      </c>
      <c r="M17" s="41" t="n">
        <v>46043</v>
      </c>
      <c r="N17" s="39" t="n">
        <v>0</v>
      </c>
      <c r="O17" s="46" t="n">
        <v>10</v>
      </c>
      <c r="P17" s="46">
        <f>O17*K17</f>
        <v/>
      </c>
      <c r="Q17" s="47" t="n"/>
      <c r="R17" s="29" t="n"/>
      <c r="S17" s="29" t="n"/>
      <c r="T17" s="42" t="n"/>
    </row>
    <row r="18" ht="27.6" customFormat="1" customHeight="1" s="43">
      <c r="A18" s="29" t="n">
        <v>3</v>
      </c>
      <c r="B18" s="44" t="n">
        <v>46027</v>
      </c>
      <c r="C18" s="45" t="inlineStr">
        <is>
          <t>SAI ASSOCIATES</t>
        </is>
      </c>
      <c r="D18" s="45" t="inlineStr">
        <is>
          <t>M-24, ADDITIONAL MIDC, KODOLI, SATARA 415004,</t>
        </is>
      </c>
      <c r="E18" s="45" t="inlineStr">
        <is>
          <t>Sachin</t>
        </is>
      </c>
      <c r="F18" s="45" t="n">
        <v>9921594837</v>
      </c>
      <c r="G18" s="29" t="inlineStr">
        <is>
          <t>Satara</t>
        </is>
      </c>
      <c r="H18" s="29" t="inlineStr">
        <is>
          <t>Maharashtra</t>
        </is>
      </c>
      <c r="I18" s="29" t="n">
        <v>8</v>
      </c>
      <c r="J18" s="29" t="n">
        <v>120</v>
      </c>
      <c r="K18" s="29" t="n">
        <v>120</v>
      </c>
      <c r="L18" s="29" t="inlineStr">
        <is>
          <t>Delivered</t>
        </is>
      </c>
      <c r="M18" s="44" t="n">
        <v>46028</v>
      </c>
      <c r="N18" s="39" t="n">
        <v>1</v>
      </c>
      <c r="O18" s="46" t="n">
        <v>10</v>
      </c>
      <c r="P18" s="46" t="n">
        <v>1200</v>
      </c>
      <c r="Q18" s="47" t="n"/>
      <c r="R18" s="29" t="inlineStr">
        <is>
          <t>Velocity</t>
        </is>
      </c>
      <c r="S18" s="42" t="n">
        <v>10</v>
      </c>
      <c r="T18" s="42" t="n">
        <v>1140</v>
      </c>
      <c r="U18" s="47" t="n"/>
    </row>
    <row r="19" ht="27.6" customFormat="1" customHeight="1" s="43">
      <c r="A19" s="29" t="n">
        <v>16</v>
      </c>
      <c r="B19" s="41" t="n">
        <v>46039</v>
      </c>
      <c r="C19" s="45" t="inlineStr">
        <is>
          <t>SAI ASSOCIATES</t>
        </is>
      </c>
      <c r="D19" s="45" t="inlineStr">
        <is>
          <t>M-24, ADDITIONAL MIDC, KODOLI, SATARA 415004,</t>
        </is>
      </c>
      <c r="E19" s="45" t="inlineStr">
        <is>
          <t>Sachin</t>
        </is>
      </c>
      <c r="F19" s="45" t="n">
        <v>9921594837</v>
      </c>
      <c r="G19" s="29" t="inlineStr">
        <is>
          <t>Satara</t>
        </is>
      </c>
      <c r="H19" s="29" t="inlineStr">
        <is>
          <t>Maharashtra</t>
        </is>
      </c>
      <c r="I19" s="29" t="n">
        <v>4</v>
      </c>
      <c r="J19" s="29" t="n">
        <v>50</v>
      </c>
      <c r="K19" s="29" t="n">
        <v>50</v>
      </c>
      <c r="L19" s="29" t="inlineStr">
        <is>
          <t>Delivered</t>
        </is>
      </c>
      <c r="M19" s="41" t="n">
        <v>46041</v>
      </c>
      <c r="N19" s="39" t="n">
        <v>1</v>
      </c>
      <c r="O19" s="46" t="n">
        <v>10</v>
      </c>
      <c r="P19" s="46">
        <f>O19*K19</f>
        <v/>
      </c>
      <c r="Q19" s="47" t="n"/>
      <c r="R19" s="29" t="inlineStr">
        <is>
          <t>Velocity</t>
        </is>
      </c>
      <c r="S19" s="42" t="n">
        <v>10</v>
      </c>
      <c r="T19" s="42" t="n">
        <v>500</v>
      </c>
    </row>
    <row r="20" ht="27.6" customFormat="1" customHeight="1" s="43">
      <c r="A20" s="29" t="n"/>
      <c r="B20" s="41" t="n">
        <v>46046</v>
      </c>
      <c r="C20" s="45" t="inlineStr">
        <is>
          <t>SAI ASSOCIATES</t>
        </is>
      </c>
      <c r="D20" s="45" t="inlineStr">
        <is>
          <t>M-24, ADDITIONAL MIDC, KODOLI, SATARA 415004,</t>
        </is>
      </c>
      <c r="E20" s="45" t="inlineStr">
        <is>
          <t>Sachin</t>
        </is>
      </c>
      <c r="F20" s="45" t="n">
        <v>9921594837</v>
      </c>
      <c r="G20" s="29" t="inlineStr">
        <is>
          <t>Satara</t>
        </is>
      </c>
      <c r="H20" s="29" t="inlineStr">
        <is>
          <t>Maharashtra</t>
        </is>
      </c>
      <c r="I20" s="29" t="n">
        <v>11</v>
      </c>
      <c r="J20" s="29" t="n">
        <v>120</v>
      </c>
      <c r="K20" s="29" t="n">
        <v>120</v>
      </c>
      <c r="L20" s="29" t="inlineStr">
        <is>
          <t>Delivered</t>
        </is>
      </c>
      <c r="M20" s="41" t="n">
        <v>46053</v>
      </c>
      <c r="N20" s="39" t="n">
        <v>6</v>
      </c>
      <c r="O20" s="46" t="n">
        <v>10</v>
      </c>
      <c r="P20" s="46">
        <f>O20*K20</f>
        <v/>
      </c>
      <c r="Q20" s="47" t="n"/>
      <c r="R20" s="29" t="inlineStr">
        <is>
          <t>Velocity</t>
        </is>
      </c>
      <c r="S20" s="29" t="n">
        <v>10</v>
      </c>
      <c r="T20" s="42" t="n">
        <v>1060</v>
      </c>
    </row>
    <row r="21" ht="27.6" customFormat="1" customHeight="1" s="43">
      <c r="A21" s="29" t="n">
        <v>1</v>
      </c>
      <c r="B21" s="44" t="n">
        <v>46024</v>
      </c>
      <c r="C21" s="45" t="inlineStr">
        <is>
          <t>Shekhar Brothers</t>
        </is>
      </c>
      <c r="D21" s="45" t="inlineStr">
        <is>
          <t>Plot No 58, Sector 6, Faridabad, Harayana - 121006</t>
        </is>
      </c>
      <c r="E21" s="45" t="inlineStr">
        <is>
          <t>Rajiv</t>
        </is>
      </c>
      <c r="F21" s="45" t="n">
        <v>8882838488</v>
      </c>
      <c r="G21" s="29" t="inlineStr">
        <is>
          <t>Faridabad</t>
        </is>
      </c>
      <c r="H21" s="29" t="inlineStr">
        <is>
          <t>Harayana</t>
        </is>
      </c>
      <c r="I21" s="30" t="n">
        <v>250</v>
      </c>
      <c r="J21" s="30" t="n">
        <v>3100</v>
      </c>
      <c r="K21" s="30" t="n">
        <v>3100</v>
      </c>
      <c r="L21" s="29" t="inlineStr">
        <is>
          <t>Delivered</t>
        </is>
      </c>
      <c r="M21" s="40" t="n">
        <v>46029</v>
      </c>
      <c r="N21" s="30" t="n">
        <v>5</v>
      </c>
      <c r="O21" s="30" t="n"/>
      <c r="P21" s="30" t="n">
        <v>35000</v>
      </c>
      <c r="R21" s="30" t="inlineStr">
        <is>
          <t>DELIVERY</t>
        </is>
      </c>
      <c r="S21" s="30" t="n"/>
      <c r="T21" s="30" t="n">
        <v>35000</v>
      </c>
    </row>
    <row r="22" ht="27.6" customFormat="1" customHeight="1" s="43">
      <c r="A22" s="29" t="n">
        <v>12</v>
      </c>
      <c r="B22" s="44" t="n">
        <v>46031</v>
      </c>
      <c r="C22" s="45" t="inlineStr">
        <is>
          <t>TANISHQ PRECISION FASTENERS LLP</t>
        </is>
      </c>
      <c r="D22" s="45" t="inlineStr">
        <is>
          <t>GAT NO – 877, NIGHOJE, TAL -KHED, CHAKAN, PUNE-410501</t>
        </is>
      </c>
      <c r="E22" s="45" t="inlineStr">
        <is>
          <t>Sanjay</t>
        </is>
      </c>
      <c r="F22" s="45" t="n">
        <v>9579951621</v>
      </c>
      <c r="G22" s="29" t="inlineStr">
        <is>
          <t>Pune</t>
        </is>
      </c>
      <c r="H22" s="29" t="inlineStr">
        <is>
          <t>Maharashtra</t>
        </is>
      </c>
      <c r="I22" s="29" t="n">
        <v>16</v>
      </c>
      <c r="J22" s="29" t="n">
        <v>400</v>
      </c>
      <c r="K22" s="29" t="n">
        <v>400</v>
      </c>
      <c r="L22" s="29" t="inlineStr">
        <is>
          <t>Delivered</t>
        </is>
      </c>
      <c r="M22" s="44" t="n">
        <v>46031</v>
      </c>
      <c r="N22" s="39" t="n">
        <v>0</v>
      </c>
      <c r="O22" s="46" t="n">
        <v>10</v>
      </c>
      <c r="P22" s="46">
        <f>O22*K22</f>
        <v/>
      </c>
      <c r="Q22" s="47" t="n"/>
      <c r="R22" s="29" t="n"/>
      <c r="S22" s="29" t="n"/>
      <c r="T22" s="42" t="n"/>
    </row>
    <row r="23" ht="41.4" customFormat="1" customHeight="1" s="43">
      <c r="A23" s="29" t="n">
        <v>4</v>
      </c>
      <c r="B23" s="44" t="n">
        <v>46028</v>
      </c>
      <c r="C23" s="45" t="inlineStr">
        <is>
          <t>THANUSAR ENTERPRISES</t>
        </is>
      </c>
      <c r="D23" s="45" t="inlineStr">
        <is>
          <t>PLOT NO 4/50, ADHAR INDUSTRIAL PREMISES, SECTOR NO 10 MIDC, BHOSARI PUNE</t>
        </is>
      </c>
      <c r="E23" s="45" t="inlineStr">
        <is>
          <t>Vishnu</t>
        </is>
      </c>
      <c r="F23" s="45" t="n">
        <v>9036230620</v>
      </c>
      <c r="G23" s="29" t="inlineStr">
        <is>
          <t>Pune</t>
        </is>
      </c>
      <c r="H23" s="29" t="inlineStr">
        <is>
          <t>Maharashtra</t>
        </is>
      </c>
      <c r="I23" s="29" t="n">
        <v>11</v>
      </c>
      <c r="J23" s="29" t="n">
        <v>250</v>
      </c>
      <c r="K23" s="29" t="n">
        <v>250</v>
      </c>
      <c r="L23" s="29" t="inlineStr">
        <is>
          <t>Delivered</t>
        </is>
      </c>
      <c r="M23" s="44" t="n">
        <v>46028</v>
      </c>
      <c r="N23" s="39" t="n">
        <v>0</v>
      </c>
      <c r="O23" s="46" t="n">
        <v>10</v>
      </c>
      <c r="P23" s="46">
        <f>O23*K23</f>
        <v/>
      </c>
      <c r="Q23" s="47" t="n"/>
      <c r="R23" s="29" t="n"/>
      <c r="S23" s="42" t="n"/>
      <c r="T23" s="29" t="n"/>
      <c r="U23" s="47" t="n"/>
    </row>
    <row r="24" ht="27.6" customFormat="1" customHeight="1" s="43">
      <c r="A24" s="29" t="n">
        <v>14</v>
      </c>
      <c r="B24" s="41" t="n">
        <v>46034</v>
      </c>
      <c r="C24" s="45" t="inlineStr">
        <is>
          <t>Trimurti Enterprises</t>
        </is>
      </c>
      <c r="D24" s="45" t="inlineStr">
        <is>
          <t>D-143, Five Star, MIDC Shendra, Chatrapati Sambhaji Nagar</t>
        </is>
      </c>
      <c r="E24" s="45" t="inlineStr">
        <is>
          <t>RAVI SIR</t>
        </is>
      </c>
      <c r="F24" s="45" t="n">
        <v>9075094520</v>
      </c>
      <c r="G24" s="29" t="inlineStr">
        <is>
          <t>Aurangabad</t>
        </is>
      </c>
      <c r="H24" s="29" t="inlineStr">
        <is>
          <t>Maharashtra</t>
        </is>
      </c>
      <c r="I24" s="29" t="n">
        <v>235</v>
      </c>
      <c r="J24" s="29" t="n">
        <v>3500</v>
      </c>
      <c r="K24" s="29" t="n">
        <v>3500</v>
      </c>
      <c r="L24" s="29" t="inlineStr">
        <is>
          <t>Delivered</t>
        </is>
      </c>
      <c r="M24" s="41" t="n">
        <v>46035</v>
      </c>
      <c r="N24" s="39" t="n">
        <v>1</v>
      </c>
      <c r="O24" s="46" t="n">
        <v>10</v>
      </c>
      <c r="P24" s="46" t="n">
        <v>15000</v>
      </c>
      <c r="Q24" s="47" t="n"/>
      <c r="R24" s="29" t="inlineStr">
        <is>
          <t>EAGAL TRANSPORT</t>
        </is>
      </c>
      <c r="S24" s="29" t="inlineStr">
        <is>
          <t>FTL</t>
        </is>
      </c>
      <c r="T24" s="42" t="n">
        <v>9000</v>
      </c>
    </row>
    <row r="25" customFormat="1" s="43">
      <c r="A25" s="29" t="n"/>
      <c r="B25" s="41" t="n"/>
      <c r="C25" s="45" t="n"/>
      <c r="D25" s="45" t="n"/>
      <c r="E25" s="45" t="n"/>
      <c r="F25" s="45" t="n"/>
      <c r="G25" s="29" t="n"/>
      <c r="H25" s="29" t="n"/>
      <c r="I25" s="29" t="n"/>
      <c r="J25" s="29" t="n"/>
      <c r="K25" s="29" t="n"/>
      <c r="L25" s="29" t="n"/>
      <c r="M25" s="41" t="n"/>
      <c r="N25" s="39" t="n"/>
      <c r="O25" s="46" t="n"/>
      <c r="P25" s="46">
        <f>O25*K25</f>
        <v/>
      </c>
      <c r="Q25" s="47" t="n"/>
      <c r="R25" s="29" t="n"/>
      <c r="S25" s="29" t="n"/>
      <c r="T25" s="42" t="n"/>
    </row>
    <row r="26" customFormat="1" s="43">
      <c r="A26" s="29" t="n"/>
      <c r="B26" s="41" t="n"/>
      <c r="C26" s="45" t="n"/>
      <c r="D26" s="45" t="n"/>
      <c r="E26" s="45" t="n"/>
      <c r="F26" s="45" t="n"/>
      <c r="G26" s="45" t="n"/>
      <c r="H26" s="45" t="n"/>
      <c r="I26" s="29" t="n"/>
      <c r="J26" s="29" t="n"/>
      <c r="K26" s="29" t="n"/>
      <c r="L26" s="29" t="n"/>
      <c r="M26" s="41" t="n"/>
      <c r="N26" s="39" t="n"/>
      <c r="O26" s="46" t="n"/>
      <c r="P26" s="46" t="n"/>
      <c r="Q26" s="47" t="n"/>
      <c r="R26" s="29" t="n"/>
      <c r="S26" s="29" t="n"/>
      <c r="T26" s="42" t="n"/>
    </row>
    <row r="27" customFormat="1" s="43">
      <c r="A27" s="29" t="n"/>
      <c r="B27" s="41" t="n"/>
      <c r="C27" s="45" t="n"/>
      <c r="D27" s="45" t="n"/>
      <c r="E27" s="45" t="n"/>
      <c r="F27" s="45" t="n"/>
      <c r="G27" s="29" t="n"/>
      <c r="H27" s="29" t="n"/>
      <c r="I27" s="29" t="n"/>
      <c r="J27" s="29" t="n"/>
      <c r="K27" s="29" t="n"/>
      <c r="L27" s="29" t="n"/>
      <c r="M27" s="41" t="n"/>
      <c r="N27" s="39" t="n"/>
      <c r="O27" s="46" t="n"/>
      <c r="P27" s="46" t="n"/>
      <c r="Q27" s="47" t="n"/>
      <c r="R27" s="29" t="n"/>
      <c r="S27" s="29" t="n"/>
      <c r="T27" s="42" t="n"/>
    </row>
    <row r="28" customFormat="1" s="43">
      <c r="A28" s="29" t="n"/>
      <c r="B28" s="41" t="n"/>
      <c r="C28" s="45" t="n"/>
      <c r="D28" s="45" t="n"/>
      <c r="E28" s="45" t="n"/>
      <c r="F28" s="45" t="n"/>
      <c r="G28" s="29" t="n"/>
      <c r="H28" s="29" t="n"/>
      <c r="I28" s="29" t="n"/>
      <c r="J28" s="29" t="n"/>
      <c r="K28" s="29" t="n"/>
      <c r="L28" s="29" t="n"/>
      <c r="M28" s="41" t="n"/>
      <c r="N28" s="39" t="n"/>
      <c r="O28" s="46" t="n"/>
      <c r="P28" s="46" t="n"/>
      <c r="Q28" s="47" t="n"/>
      <c r="R28" s="29" t="n"/>
      <c r="S28" s="29" t="n"/>
      <c r="T28" s="42" t="n"/>
    </row>
    <row r="29" customFormat="1" s="43">
      <c r="A29" s="29" t="n"/>
      <c r="B29" s="41" t="n"/>
      <c r="C29" s="45" t="n"/>
      <c r="D29" s="45" t="n"/>
      <c r="E29" s="45" t="n"/>
      <c r="F29" s="45" t="n"/>
      <c r="G29" s="29" t="n"/>
      <c r="H29" s="29" t="n"/>
      <c r="I29" s="29" t="n"/>
      <c r="J29" s="29" t="n"/>
      <c r="K29" s="29" t="n"/>
      <c r="L29" s="29" t="n"/>
      <c r="M29" s="41" t="n"/>
      <c r="N29" s="39" t="n"/>
      <c r="O29" s="46" t="n"/>
      <c r="P29" s="46" t="n"/>
      <c r="Q29" s="47" t="n"/>
      <c r="R29" s="29" t="n"/>
      <c r="S29" s="29" t="n"/>
      <c r="T29" s="42" t="n"/>
    </row>
    <row r="30" customFormat="1" s="43">
      <c r="A30" s="29" t="n"/>
      <c r="B30" s="41" t="n"/>
      <c r="C30" s="45" t="n"/>
      <c r="D30" s="45" t="n"/>
      <c r="E30" s="45" t="n"/>
      <c r="F30" s="45" t="n"/>
      <c r="G30" s="29" t="n"/>
      <c r="H30" s="29" t="n"/>
      <c r="I30" s="29" t="n"/>
      <c r="J30" s="29" t="n"/>
      <c r="K30" s="29" t="n"/>
      <c r="L30" s="29" t="n"/>
      <c r="M30" s="41" t="n"/>
      <c r="N30" s="39" t="n"/>
      <c r="O30" s="46" t="n"/>
      <c r="P30" s="46" t="n"/>
      <c r="Q30" s="47" t="n"/>
      <c r="R30" s="29" t="n"/>
      <c r="S30" s="29" t="n"/>
      <c r="T30" s="42" t="n"/>
    </row>
    <row r="31" customFormat="1" s="43">
      <c r="A31" s="29" t="n"/>
      <c r="B31" s="41" t="n"/>
      <c r="C31" s="45" t="n"/>
      <c r="D31" s="45" t="n"/>
      <c r="E31" s="45" t="n"/>
      <c r="F31" s="45" t="n"/>
      <c r="G31" s="29" t="n"/>
      <c r="H31" s="29" t="n"/>
      <c r="I31" s="29" t="n"/>
      <c r="J31" s="29" t="n"/>
      <c r="K31" s="29" t="n"/>
      <c r="L31" s="29" t="n"/>
      <c r="M31" s="41" t="n"/>
      <c r="N31" s="39" t="n"/>
      <c r="O31" s="46" t="n"/>
      <c r="P31" s="46" t="n"/>
      <c r="Q31" s="47" t="n"/>
      <c r="R31" s="29" t="n"/>
      <c r="S31" s="29" t="n"/>
      <c r="T31" s="42" t="n"/>
    </row>
    <row r="32" customFormat="1" s="43">
      <c r="A32" s="29" t="n"/>
      <c r="B32" s="41" t="n"/>
      <c r="C32" s="45" t="n"/>
      <c r="D32" s="45" t="n"/>
      <c r="E32" s="45" t="n"/>
      <c r="F32" s="45" t="n"/>
      <c r="G32" s="29" t="n"/>
      <c r="H32" s="29" t="n"/>
      <c r="I32" s="29" t="n"/>
      <c r="J32" s="29" t="n"/>
      <c r="K32" s="29" t="n"/>
      <c r="L32" s="29" t="n"/>
      <c r="M32" s="41" t="n"/>
      <c r="N32" s="39" t="n"/>
      <c r="O32" s="46" t="n"/>
      <c r="P32" s="46" t="n"/>
      <c r="Q32" s="47" t="n"/>
      <c r="R32" s="29" t="n"/>
      <c r="S32" s="29" t="n"/>
      <c r="T32" s="42" t="n"/>
    </row>
    <row r="33" customFormat="1" s="43">
      <c r="A33" s="29" t="n"/>
      <c r="B33" s="48" t="n"/>
      <c r="C33" s="49" t="n"/>
      <c r="D33" s="49" t="n"/>
      <c r="E33" s="49" t="n"/>
      <c r="F33" s="49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50" t="n"/>
      <c r="P33" s="50" t="n"/>
      <c r="Q33" s="47" t="n"/>
      <c r="R33" s="29" t="n"/>
      <c r="S33" s="29" t="n"/>
      <c r="T33" s="42" t="n"/>
    </row>
    <row r="34">
      <c r="P34" s="47">
        <f>SUM(P2:P33)</f>
        <v/>
      </c>
      <c r="T34" s="47">
        <f>SUM(T2:T33)</f>
        <v/>
      </c>
    </row>
    <row r="35" customFormat="1" s="43">
      <c r="A35" s="47" t="n"/>
      <c r="B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29" t="inlineStr">
        <is>
          <t>Vehicle Rent</t>
        </is>
      </c>
      <c r="T35" s="42" t="n">
        <v>30000</v>
      </c>
    </row>
    <row r="36" customFormat="1" s="43">
      <c r="A36" s="47" t="n"/>
      <c r="B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29" t="inlineStr">
        <is>
          <t>CNG - Wk 1</t>
        </is>
      </c>
      <c r="T36" s="29" t="n">
        <v>3126</v>
      </c>
    </row>
    <row r="37" customFormat="1" s="43">
      <c r="A37" s="47" t="n"/>
      <c r="B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29" t="inlineStr">
        <is>
          <t>CNG - Wk 2</t>
        </is>
      </c>
      <c r="T37" s="29" t="n">
        <v>11143</v>
      </c>
    </row>
    <row r="38" customFormat="1" s="43">
      <c r="A38" s="47" t="n"/>
      <c r="B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29" t="inlineStr">
        <is>
          <t>CNG - Wk 3</t>
        </is>
      </c>
      <c r="T38" s="29" t="n">
        <v>9857</v>
      </c>
    </row>
    <row r="39" customFormat="1" s="43">
      <c r="A39" s="47" t="n"/>
      <c r="B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29" t="inlineStr">
        <is>
          <t>CNG - Wk 4</t>
        </is>
      </c>
    </row>
    <row r="40" customFormat="1" s="43">
      <c r="A40" s="47" t="n"/>
      <c r="B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1" t="n"/>
      <c r="T40" s="29" t="n"/>
    </row>
    <row r="41">
      <c r="S41" s="35" t="inlineStr">
        <is>
          <t>Total Expense</t>
        </is>
      </c>
      <c r="T41" s="47">
        <f>SUM(T34:T40)</f>
        <v/>
      </c>
    </row>
    <row r="42" customFormat="1" s="43">
      <c r="A42" s="47" t="n"/>
      <c r="B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1" t="n"/>
      <c r="T42" s="52" t="n"/>
    </row>
    <row r="43">
      <c r="S43" s="35" t="inlineStr">
        <is>
          <t>Total Profit</t>
        </is>
      </c>
      <c r="T43" s="47">
        <f>P34-T41</f>
        <v/>
      </c>
    </row>
  </sheetData>
  <autoFilter ref="A1:U43">
    <sortState ref="A2:U43">
      <sortCondition ref="C1:C4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4"/>
  <sheetViews>
    <sheetView topLeftCell="A13" workbookViewId="0">
      <selection activeCell="D23" sqref="D23"/>
    </sheetView>
  </sheetViews>
  <sheetFormatPr baseColWidth="8" defaultColWidth="8.88671875" defaultRowHeight="13.8"/>
  <cols>
    <col width="11.5546875" bestFit="1" customWidth="1" style="47" min="1" max="1"/>
    <col width="5.33203125" customWidth="1" style="47" min="2" max="2"/>
    <col width="12.33203125" customWidth="1" style="47" min="3" max="3"/>
    <col width="25.44140625" customWidth="1" style="43" min="4" max="4"/>
    <col width="33.109375" customWidth="1" style="43" min="5" max="5"/>
    <col width="14" customWidth="1" style="43" min="6" max="6"/>
    <col width="12.33203125" customWidth="1" style="43" min="7" max="7"/>
    <col width="11.6640625" customWidth="1" style="47" min="8" max="8"/>
    <col width="12.33203125" customWidth="1" style="47" min="9" max="9"/>
    <col width="9" customWidth="1" style="47" min="10" max="10"/>
    <col width="7.88671875" customWidth="1" style="47" min="11" max="11"/>
    <col width="9" customWidth="1" style="47" min="12" max="12"/>
    <col width="10.44140625" bestFit="1" customWidth="1" style="47" min="13" max="13"/>
    <col width="10.33203125" customWidth="1" style="47" min="14" max="14"/>
    <col width="8.6640625" customWidth="1" style="47" min="15" max="15"/>
    <col width="9" customWidth="1" style="47" min="16" max="16"/>
    <col width="11.33203125" bestFit="1" customWidth="1" style="47" min="17" max="17"/>
    <col width="1.88671875" customWidth="1" style="47" min="18" max="18"/>
    <col width="12" bestFit="1" customWidth="1" style="47" min="19" max="19"/>
    <col width="13.33203125" customWidth="1" style="47" min="20" max="20"/>
    <col width="12.44140625" bestFit="1" customWidth="1" style="47" min="21" max="21"/>
    <col width="20.6640625" customWidth="1" style="43" min="22" max="22"/>
    <col width="8.88671875" customWidth="1" style="47" min="23" max="23"/>
    <col width="8.88671875" customWidth="1" style="47" min="24" max="16384"/>
  </cols>
  <sheetData>
    <row r="1" ht="41.4" customFormat="1" customHeight="1" s="43">
      <c r="A1" s="45" t="inlineStr">
        <is>
          <t>LR NUMBER</t>
        </is>
      </c>
      <c r="B1" s="30" t="inlineStr">
        <is>
          <t>#</t>
        </is>
      </c>
      <c r="C1" s="30" t="inlineStr">
        <is>
          <t>Pickup Request Date</t>
        </is>
      </c>
      <c r="D1" s="30" t="inlineStr">
        <is>
          <t>Name</t>
        </is>
      </c>
      <c r="E1" s="30" t="inlineStr">
        <is>
          <t>Address</t>
        </is>
      </c>
      <c r="F1" s="30" t="inlineStr">
        <is>
          <t>Contact Person</t>
        </is>
      </c>
      <c r="G1" s="30" t="inlineStr">
        <is>
          <t>Contact Number</t>
        </is>
      </c>
      <c r="H1" s="30" t="inlineStr">
        <is>
          <t>City</t>
        </is>
      </c>
      <c r="I1" s="30" t="inlineStr">
        <is>
          <t>State</t>
        </is>
      </c>
      <c r="J1" s="30" t="inlineStr">
        <is>
          <t>No Of Boxes</t>
        </is>
      </c>
      <c r="K1" s="30" t="inlineStr">
        <is>
          <t>Weight as per EcoFleet</t>
        </is>
      </c>
      <c r="L1" s="30" t="inlineStr">
        <is>
          <t>Weight as per Optlog</t>
        </is>
      </c>
      <c r="M1" s="30" t="inlineStr">
        <is>
          <t>Status</t>
        </is>
      </c>
      <c r="N1" s="30" t="inlineStr">
        <is>
          <t xml:space="preserve">Delivered on </t>
        </is>
      </c>
      <c r="O1" s="30" t="inlineStr">
        <is>
          <t>TAT</t>
        </is>
      </c>
      <c r="P1" s="30" t="inlineStr">
        <is>
          <t>Rate</t>
        </is>
      </c>
      <c r="Q1" s="30" t="inlineStr">
        <is>
          <t>Amount</t>
        </is>
      </c>
      <c r="S1" s="30" t="inlineStr">
        <is>
          <t>Vendor</t>
        </is>
      </c>
      <c r="T1" s="30" t="inlineStr">
        <is>
          <t>Vendor Rate</t>
        </is>
      </c>
      <c r="U1" s="30" t="inlineStr">
        <is>
          <t>CNG Paid &amp; Vendor Payment</t>
        </is>
      </c>
    </row>
    <row r="2" ht="14.4" customFormat="1" customHeight="1" s="43">
      <c r="A2" s="53" t="inlineStr">
        <is>
          <t>2025-26/038</t>
        </is>
      </c>
      <c r="B2" s="29" t="n">
        <v>12</v>
      </c>
      <c r="C2" s="44" t="n">
        <v>46069</v>
      </c>
      <c r="D2" s="27" t="inlineStr">
        <is>
          <t>AKAR AUTO INDUSTRIES LIMIT</t>
        </is>
      </c>
      <c r="E2" s="27" t="inlineStr">
        <is>
          <t>E 5 MIDC WALUJ, AURANGABAD</t>
        </is>
      </c>
      <c r="F2" s="22" t="inlineStr">
        <is>
          <t>Mushtaq</t>
        </is>
      </c>
      <c r="G2" s="22" t="n">
        <v>9890997721</v>
      </c>
      <c r="H2" s="20" t="inlineStr">
        <is>
          <t>Sambhaji nagar</t>
        </is>
      </c>
      <c r="I2" s="29" t="inlineStr">
        <is>
          <t>Maharashtra</t>
        </is>
      </c>
      <c r="J2" s="29" t="n">
        <v>128</v>
      </c>
      <c r="K2" s="29" t="n">
        <v>2000</v>
      </c>
      <c r="L2" s="29" t="n">
        <v>2563</v>
      </c>
      <c r="M2" s="29" t="inlineStr">
        <is>
          <t>Delivered</t>
        </is>
      </c>
      <c r="N2" s="44" t="n">
        <v>46070</v>
      </c>
      <c r="O2" s="39" t="n"/>
      <c r="P2" s="46" t="n">
        <v>10</v>
      </c>
      <c r="Q2" s="46" t="n">
        <v>15000</v>
      </c>
      <c r="S2" s="30" t="inlineStr">
        <is>
          <t>DELIVERY</t>
        </is>
      </c>
      <c r="T2" s="30" t="n"/>
      <c r="U2" s="30" t="n"/>
    </row>
    <row r="3" ht="27.6" customFormat="1" customHeight="1" s="43">
      <c r="A3" s="53" t="inlineStr">
        <is>
          <t>2025-26/030</t>
        </is>
      </c>
      <c r="B3" s="29" t="n">
        <v>5</v>
      </c>
      <c r="C3" s="44" t="n">
        <v>46057</v>
      </c>
      <c r="D3" s="45" t="inlineStr">
        <is>
          <t>ASTRA AUTOLITES</t>
        </is>
      </c>
      <c r="E3" s="45" t="inlineStr">
        <is>
          <t>GAT NO, 139B, ALANDI MARKAL ROAD, PUNE - 412105</t>
        </is>
      </c>
      <c r="F3" s="45" t="inlineStr">
        <is>
          <t>Flavia</t>
        </is>
      </c>
      <c r="G3" s="45" t="n">
        <v>9960525493</v>
      </c>
      <c r="H3" s="29" t="inlineStr">
        <is>
          <t>Pune</t>
        </is>
      </c>
      <c r="I3" s="29" t="inlineStr">
        <is>
          <t>Maharashtra</t>
        </is>
      </c>
      <c r="J3" s="29" t="n">
        <v>11</v>
      </c>
      <c r="K3" s="29" t="n">
        <v>120</v>
      </c>
      <c r="L3" s="29" t="n">
        <v>86.54000000000001</v>
      </c>
      <c r="M3" s="29" t="inlineStr">
        <is>
          <t>Delivered</t>
        </is>
      </c>
      <c r="N3" s="44" t="n">
        <v>46062</v>
      </c>
      <c r="O3" s="39" t="n">
        <v>5</v>
      </c>
      <c r="P3" s="46" t="n">
        <v>10</v>
      </c>
      <c r="Q3" s="46">
        <f>P3*L3</f>
        <v/>
      </c>
      <c r="R3" s="47" t="n"/>
      <c r="S3" s="29" t="n"/>
      <c r="T3" s="29" t="n"/>
      <c r="U3" s="42" t="n"/>
    </row>
    <row r="4" ht="27.6" customFormat="1" customHeight="1" s="43">
      <c r="A4" s="75" t="inlineStr">
        <is>
          <t>2025-26/027</t>
        </is>
      </c>
      <c r="B4" s="29" t="n">
        <v>1</v>
      </c>
      <c r="C4" s="44" t="n">
        <v>46055</v>
      </c>
      <c r="D4" s="45" t="inlineStr">
        <is>
          <t>FERYEZ POLYMER PVT LTD</t>
        </is>
      </c>
      <c r="E4" s="45" t="inlineStr">
        <is>
          <t>SR.NO.172, CHICHWADGAON, PUNE 411033 MAHARASHTRA</t>
        </is>
      </c>
      <c r="F4" s="45" t="inlineStr">
        <is>
          <t xml:space="preserve">Sandip </t>
        </is>
      </c>
      <c r="G4" s="45" t="n">
        <v>9503161311</v>
      </c>
      <c r="H4" s="29" t="inlineStr">
        <is>
          <t>Pune</t>
        </is>
      </c>
      <c r="I4" s="29" t="inlineStr">
        <is>
          <t>Maharashtra</t>
        </is>
      </c>
      <c r="J4" s="30" t="n">
        <v>35</v>
      </c>
      <c r="K4" s="30" t="n">
        <v>664</v>
      </c>
      <c r="L4" s="30" t="n">
        <v>664</v>
      </c>
      <c r="M4" s="29" t="inlineStr">
        <is>
          <t>Delivered</t>
        </is>
      </c>
      <c r="N4" s="40" t="n">
        <v>46056</v>
      </c>
      <c r="O4" s="30" t="n">
        <v>1</v>
      </c>
      <c r="P4" s="30" t="n">
        <v>10</v>
      </c>
      <c r="Q4" s="30">
        <f>L4*P4</f>
        <v/>
      </c>
      <c r="R4" s="47" t="n"/>
      <c r="S4" s="29" t="inlineStr">
        <is>
          <t>velocity</t>
        </is>
      </c>
      <c r="T4" s="29" t="n">
        <v>10</v>
      </c>
      <c r="U4" s="42" t="n">
        <v>2160</v>
      </c>
    </row>
    <row r="5" ht="27.6" customHeight="1">
      <c r="A5" s="53" t="inlineStr">
        <is>
          <t>2025-26/037</t>
        </is>
      </c>
      <c r="B5" s="29" t="n">
        <v>11</v>
      </c>
      <c r="C5" s="44" t="n">
        <v>46069</v>
      </c>
      <c r="D5" s="45" t="inlineStr">
        <is>
          <t>FERYEZ POLYMER PVT LTD</t>
        </is>
      </c>
      <c r="E5" s="45" t="inlineStr">
        <is>
          <t>SR.NO.172, CHICHWADGAON, PUNE 411033 MAHARASHTRA</t>
        </is>
      </c>
      <c r="F5" s="45" t="inlineStr">
        <is>
          <t xml:space="preserve">Sandip </t>
        </is>
      </c>
      <c r="G5" s="43" t="n">
        <v>9503161311</v>
      </c>
      <c r="H5" s="29" t="inlineStr">
        <is>
          <t>Pune</t>
        </is>
      </c>
      <c r="I5" s="29" t="inlineStr">
        <is>
          <t>Maharashtra</t>
        </is>
      </c>
      <c r="J5" s="29" t="n">
        <v>29</v>
      </c>
      <c r="K5" s="29" t="n">
        <v>584.8099999999999</v>
      </c>
      <c r="L5" s="29" t="n">
        <v>584.8099999999999</v>
      </c>
      <c r="M5" s="29" t="inlineStr">
        <is>
          <t>Delivered</t>
        </is>
      </c>
      <c r="N5" s="41" t="n">
        <v>46069</v>
      </c>
      <c r="O5" s="39" t="n"/>
      <c r="P5" s="46" t="n">
        <v>10</v>
      </c>
      <c r="Q5" s="46">
        <f>P5*L5</f>
        <v/>
      </c>
      <c r="R5" s="29" t="n"/>
      <c r="S5" s="29" t="n"/>
      <c r="T5" s="42" t="n"/>
      <c r="U5" s="42" t="n"/>
      <c r="V5" s="47" t="n"/>
    </row>
    <row r="6" ht="27.6" customHeight="1">
      <c r="A6" s="53" t="inlineStr">
        <is>
          <t>2025-26/040</t>
        </is>
      </c>
      <c r="B6" s="29" t="n">
        <v>14</v>
      </c>
      <c r="C6" s="44" t="n">
        <v>46076</v>
      </c>
      <c r="D6" s="45" t="inlineStr">
        <is>
          <t>FERYEZ POLYMER PVT LTD</t>
        </is>
      </c>
      <c r="E6" s="45" t="inlineStr">
        <is>
          <t>SR.NO.172, CHICHWADGAON, PUNE 411033 MAHARASHTRA</t>
        </is>
      </c>
      <c r="F6" s="45" t="inlineStr">
        <is>
          <t xml:space="preserve">Sandip </t>
        </is>
      </c>
      <c r="G6" s="45" t="n">
        <v>9503161311</v>
      </c>
      <c r="H6" s="29" t="inlineStr">
        <is>
          <t>Pune</t>
        </is>
      </c>
      <c r="I6" s="29" t="inlineStr">
        <is>
          <t>Maharashtra</t>
        </is>
      </c>
      <c r="J6" s="29" t="n">
        <v>8</v>
      </c>
      <c r="K6" s="29" t="n">
        <v>160</v>
      </c>
      <c r="L6" s="29" t="n">
        <v>160</v>
      </c>
      <c r="M6" s="29" t="inlineStr">
        <is>
          <t>Delivered</t>
        </is>
      </c>
      <c r="N6" s="44" t="n">
        <v>46077</v>
      </c>
      <c r="O6" s="39" t="n"/>
      <c r="P6" s="46" t="n">
        <v>10</v>
      </c>
      <c r="Q6" s="46">
        <f>P6*L6</f>
        <v/>
      </c>
      <c r="R6" s="29" t="n"/>
      <c r="S6" s="29" t="n"/>
      <c r="T6" s="42" t="n"/>
      <c r="U6" s="29" t="n"/>
      <c r="V6" s="47" t="n"/>
    </row>
    <row r="7" ht="27.6" customFormat="1" customHeight="1" s="43">
      <c r="A7" s="53" t="inlineStr">
        <is>
          <t>2025-26/036</t>
        </is>
      </c>
      <c r="B7" s="29" t="n">
        <v>9</v>
      </c>
      <c r="C7" s="44" t="n">
        <v>46065</v>
      </c>
      <c r="D7" s="45" t="inlineStr">
        <is>
          <t>JAI BHAVANI MATA ENGITECH PRIVATE LIMITED</t>
        </is>
      </c>
      <c r="E7" s="45" t="inlineStr">
        <is>
          <t>681, LANDEWADI, BHOSARI . BHOSARI , PUNE – 411026</t>
        </is>
      </c>
      <c r="F7" s="45" t="inlineStr">
        <is>
          <t>Balaji</t>
        </is>
      </c>
      <c r="G7" s="45" t="n">
        <v>9765567788</v>
      </c>
      <c r="H7" s="29" t="inlineStr">
        <is>
          <t>Pune</t>
        </is>
      </c>
      <c r="I7" s="29" t="inlineStr">
        <is>
          <t>Maharashtra</t>
        </is>
      </c>
      <c r="J7" s="29" t="n">
        <v>5</v>
      </c>
      <c r="K7" s="29" t="n">
        <v>100</v>
      </c>
      <c r="L7" s="29" t="n">
        <v>100</v>
      </c>
      <c r="M7" s="29" t="inlineStr">
        <is>
          <t>Delivered</t>
        </is>
      </c>
      <c r="N7" s="41" t="n">
        <v>46069</v>
      </c>
      <c r="O7" s="39" t="n"/>
      <c r="P7" s="46" t="n">
        <v>10</v>
      </c>
      <c r="Q7" s="46">
        <f>P7*L7</f>
        <v/>
      </c>
      <c r="R7" s="47" t="n"/>
      <c r="S7" s="29" t="n"/>
      <c r="T7" s="29" t="n"/>
      <c r="U7" s="42" t="n"/>
    </row>
    <row r="8" ht="41.4" customFormat="1" customHeight="1" s="43">
      <c r="A8" s="53" t="inlineStr">
        <is>
          <t>2025-26/028</t>
        </is>
      </c>
      <c r="B8" s="29" t="n">
        <v>2</v>
      </c>
      <c r="C8" s="44" t="n">
        <v>46055</v>
      </c>
      <c r="D8" s="45" t="inlineStr">
        <is>
          <t>NIKY PRECISION ENGINEERS PRIVATE LIMITED</t>
        </is>
      </c>
      <c r="E8" s="45" t="inlineStr">
        <is>
          <t xml:space="preserve"> PLOT NO 15, GALA NO 1, 3, 5, 7, PLOT NO 9, S NO 38/2/18, 16, NARHE, PUNE-411041</t>
        </is>
      </c>
      <c r="F8" s="45" t="inlineStr">
        <is>
          <t>Jeevan</t>
        </is>
      </c>
      <c r="G8" s="45" t="n">
        <v>8446006021</v>
      </c>
      <c r="H8" s="29" t="inlineStr">
        <is>
          <t>Pune</t>
        </is>
      </c>
      <c r="I8" s="29" t="inlineStr">
        <is>
          <t>Maharashtra</t>
        </is>
      </c>
      <c r="J8" s="29" t="n">
        <v>39</v>
      </c>
      <c r="K8" s="29" t="n">
        <v>340</v>
      </c>
      <c r="L8" s="29" t="n">
        <v>340</v>
      </c>
      <c r="M8" s="29" t="inlineStr">
        <is>
          <t>Delivered</t>
        </is>
      </c>
      <c r="N8" s="40" t="n">
        <v>46056</v>
      </c>
      <c r="O8" s="30" t="n">
        <v>1</v>
      </c>
      <c r="P8" s="46" t="n">
        <v>10</v>
      </c>
      <c r="Q8" s="46">
        <f>P8*L8</f>
        <v/>
      </c>
      <c r="R8" s="47" t="n"/>
      <c r="S8" s="29" t="n"/>
      <c r="T8" s="29" t="n"/>
      <c r="U8" s="42" t="n"/>
    </row>
    <row r="9" ht="41.4" customFormat="1" customHeight="1" s="43">
      <c r="B9" s="29" t="n">
        <v>10</v>
      </c>
      <c r="C9" s="55" t="n">
        <v>46065</v>
      </c>
      <c r="D9" s="45" t="inlineStr">
        <is>
          <t>NIKY PRECISION ENGINEERS PRIVATE LIMITED</t>
        </is>
      </c>
      <c r="E9" s="45" t="inlineStr">
        <is>
          <t xml:space="preserve"> PLOT NO 15, GALA NO 1, 3, 5, 7, PLOT NO 9, S NO 38/2/18, 16, NARHE, PUNE-411041</t>
        </is>
      </c>
      <c r="F9" s="45" t="inlineStr">
        <is>
          <t>Jeevan</t>
        </is>
      </c>
      <c r="G9" s="45" t="n">
        <v>8446006021</v>
      </c>
      <c r="H9" s="29" t="inlineStr">
        <is>
          <t>Pune</t>
        </is>
      </c>
      <c r="I9" s="29" t="inlineStr">
        <is>
          <t>Maharashtra</t>
        </is>
      </c>
      <c r="J9" s="29" t="n">
        <v>16</v>
      </c>
      <c r="K9" s="29" t="n">
        <v>160</v>
      </c>
      <c r="L9" s="29" t="n">
        <v>160</v>
      </c>
      <c r="M9" s="29" t="inlineStr">
        <is>
          <t>Delivered</t>
        </is>
      </c>
      <c r="N9" s="41" t="n">
        <v>46069</v>
      </c>
      <c r="O9" s="39" t="n"/>
      <c r="P9" s="46" t="n">
        <v>10</v>
      </c>
      <c r="Q9" s="46">
        <f>P9*L9</f>
        <v/>
      </c>
      <c r="R9" s="47" t="n"/>
      <c r="S9" s="29" t="n"/>
      <c r="T9" s="29" t="n"/>
      <c r="U9" s="42" t="n"/>
    </row>
    <row r="10" ht="41.4" customFormat="1" customHeight="1" s="43">
      <c r="A10" s="53" t="inlineStr">
        <is>
          <t>2025-26/044</t>
        </is>
      </c>
      <c r="B10" s="29" t="n">
        <v>18</v>
      </c>
      <c r="C10" s="41" t="n">
        <v>46078</v>
      </c>
      <c r="D10" s="45" t="inlineStr">
        <is>
          <t>NIKY PRECISION ENGINEERS PRIVATE LIMITED</t>
        </is>
      </c>
      <c r="E10" s="45" t="inlineStr">
        <is>
          <t xml:space="preserve"> PLOT NO 15, GALA NO 1, 3, 5, 7, PLOT NO 9, S NO 38/2/18, 16, NARHE, PUNE-411041</t>
        </is>
      </c>
      <c r="F10" s="45" t="inlineStr">
        <is>
          <t>Jeevan</t>
        </is>
      </c>
      <c r="G10" s="45" t="n">
        <v>8446006021</v>
      </c>
      <c r="H10" s="29" t="inlineStr">
        <is>
          <t>Pune</t>
        </is>
      </c>
      <c r="I10" s="29" t="inlineStr">
        <is>
          <t>Maharashtra</t>
        </is>
      </c>
      <c r="J10" s="29" t="n">
        <v>15</v>
      </c>
      <c r="K10" s="29" t="n">
        <v>150</v>
      </c>
      <c r="L10" s="29" t="n">
        <v>150</v>
      </c>
      <c r="M10" s="29" t="inlineStr">
        <is>
          <t>Delivered</t>
        </is>
      </c>
      <c r="N10" s="44" t="n">
        <v>46079</v>
      </c>
      <c r="O10" s="39" t="n"/>
      <c r="P10" s="46" t="n">
        <v>10</v>
      </c>
      <c r="Q10" s="46">
        <f>P10*L10</f>
        <v/>
      </c>
      <c r="R10" s="47" t="n"/>
      <c r="S10" s="29" t="n"/>
      <c r="T10" s="29" t="n"/>
      <c r="U10" s="42" t="n"/>
    </row>
    <row r="11" ht="41.4" customFormat="1" customHeight="1" s="43">
      <c r="A11" s="75" t="inlineStr">
        <is>
          <t>2025-26/031</t>
        </is>
      </c>
      <c r="B11" s="29" t="n">
        <v>6</v>
      </c>
      <c r="C11" s="44" t="n">
        <v>46061</v>
      </c>
      <c r="D11" s="45" t="inlineStr">
        <is>
          <t>NIKY PRECISION(MULAY POLYMERS PVT. LTD.)</t>
        </is>
      </c>
      <c r="E11" s="45" t="inlineStr">
        <is>
          <t>Gat No 679/2/1 Plot No. 30/6, Chakan Alandi Road, Tal.-Khed Dist.-Pune-410501.</t>
        </is>
      </c>
      <c r="F11" s="45" t="inlineStr">
        <is>
          <t xml:space="preserve">Rajkumar </t>
        </is>
      </c>
      <c r="G11" s="45" t="n">
        <v>9156575795</v>
      </c>
      <c r="H11" s="29" t="inlineStr">
        <is>
          <t>Pune</t>
        </is>
      </c>
      <c r="I11" s="29" t="inlineStr">
        <is>
          <t>Maharashtra</t>
        </is>
      </c>
      <c r="J11" s="29" t="n">
        <v>30</v>
      </c>
      <c r="K11" s="29" t="n">
        <v>270</v>
      </c>
      <c r="L11" s="29" t="n">
        <v>270</v>
      </c>
      <c r="M11" s="29" t="inlineStr">
        <is>
          <t>Delivered</t>
        </is>
      </c>
      <c r="N11" s="44" t="n">
        <v>46062</v>
      </c>
      <c r="O11" s="39" t="n">
        <v>0</v>
      </c>
      <c r="P11" s="46" t="n">
        <v>10</v>
      </c>
      <c r="Q11" s="46">
        <f>P11*L11</f>
        <v/>
      </c>
      <c r="R11" s="47" t="n"/>
      <c r="S11" s="29" t="n"/>
      <c r="T11" s="29" t="n"/>
      <c r="U11" s="42" t="n"/>
    </row>
    <row r="12" ht="41.4" customFormat="1" customHeight="1" s="43">
      <c r="A12" s="53" t="inlineStr">
        <is>
          <t>2025-26/033</t>
        </is>
      </c>
      <c r="B12" s="29" t="n">
        <v>8</v>
      </c>
      <c r="C12" s="44" t="n">
        <v>46063</v>
      </c>
      <c r="D12" s="45" t="inlineStr">
        <is>
          <t>NIKY PRECISION(MULAY POLYMERS PVT. LTD.)</t>
        </is>
      </c>
      <c r="E12" s="45" t="inlineStr">
        <is>
          <t>Gat No 679/2/1 Plot No. 30/6, Chakan Alandi Road, Tal.-Khed Dist.-Pune-410501.</t>
        </is>
      </c>
      <c r="F12" s="45" t="inlineStr">
        <is>
          <t xml:space="preserve">Rajkumar </t>
        </is>
      </c>
      <c r="G12" s="45" t="n">
        <v>9156575795</v>
      </c>
      <c r="H12" s="29" t="inlineStr">
        <is>
          <t>Pune</t>
        </is>
      </c>
      <c r="I12" s="29" t="inlineStr">
        <is>
          <t>Maharashtra</t>
        </is>
      </c>
      <c r="J12" s="29" t="n">
        <v>40</v>
      </c>
      <c r="K12" s="29" t="n">
        <v>338</v>
      </c>
      <c r="L12" s="29" t="n">
        <v>338</v>
      </c>
      <c r="M12" s="29" t="inlineStr">
        <is>
          <t>Delivered</t>
        </is>
      </c>
      <c r="N12" s="41" t="n">
        <v>46063</v>
      </c>
      <c r="O12" s="39" t="n">
        <v>0</v>
      </c>
      <c r="P12" s="46" t="n">
        <v>10</v>
      </c>
      <c r="Q12" s="46">
        <f>P12*L12</f>
        <v/>
      </c>
      <c r="R12" s="47" t="n"/>
      <c r="S12" s="29" t="n"/>
      <c r="T12" s="29" t="n"/>
      <c r="U12" s="42" t="n"/>
    </row>
    <row r="13" ht="27.6" customFormat="1" customHeight="1" s="43">
      <c r="A13" s="53" t="inlineStr">
        <is>
          <t>2025-26/042</t>
        </is>
      </c>
      <c r="B13" s="29" t="n">
        <v>16</v>
      </c>
      <c r="C13" s="44" t="n">
        <v>46076</v>
      </c>
      <c r="D13" s="27" t="inlineStr">
        <is>
          <t>PACOLINE INDUSTRIES PRIVATE LIMITED</t>
        </is>
      </c>
      <c r="E13" s="27" t="inlineStr">
        <is>
          <t>21 Hadapsar Indl Estate  Pune 411013</t>
        </is>
      </c>
      <c r="F13" s="22" t="inlineStr">
        <is>
          <t>SOURAV</t>
        </is>
      </c>
      <c r="G13" s="22" t="n">
        <v>9552519571</v>
      </c>
      <c r="H13" s="29" t="inlineStr">
        <is>
          <t>Pune</t>
        </is>
      </c>
      <c r="I13" s="29" t="inlineStr">
        <is>
          <t>Maharashtra</t>
        </is>
      </c>
      <c r="J13" s="29" t="n">
        <v>16</v>
      </c>
      <c r="K13" s="29" t="n">
        <v>240</v>
      </c>
      <c r="L13" s="29" t="n">
        <v>240</v>
      </c>
      <c r="M13" s="29" t="inlineStr">
        <is>
          <t>Delivered</t>
        </is>
      </c>
      <c r="N13" s="44" t="n">
        <v>46077</v>
      </c>
      <c r="O13" s="39" t="n"/>
      <c r="P13" s="46" t="n">
        <v>10</v>
      </c>
      <c r="Q13" s="46">
        <f>P13*L13</f>
        <v/>
      </c>
      <c r="R13" s="47" t="n"/>
      <c r="S13" s="20" t="inlineStr">
        <is>
          <t>Third Party</t>
        </is>
      </c>
      <c r="T13" s="29" t="n"/>
      <c r="U13" s="42" t="n">
        <v>9000</v>
      </c>
    </row>
    <row r="14" ht="31.95" customFormat="1" customHeight="1" s="43">
      <c r="A14" s="53" t="inlineStr">
        <is>
          <t>2025-26/044</t>
        </is>
      </c>
      <c r="B14" s="29" t="n">
        <v>19</v>
      </c>
      <c r="C14" s="41" t="n">
        <v>46078</v>
      </c>
      <c r="D14" s="27" t="inlineStr">
        <is>
          <t>PACOLINE INDUSTRIES PRIVATE LIMITED</t>
        </is>
      </c>
      <c r="E14" s="27" t="inlineStr">
        <is>
          <t>21 Hadapsar Indl Estate  Pune 411013</t>
        </is>
      </c>
      <c r="F14" s="22" t="inlineStr">
        <is>
          <t>SOURAV</t>
        </is>
      </c>
      <c r="G14" s="22" t="n">
        <v>9552519571</v>
      </c>
      <c r="H14" s="29" t="inlineStr">
        <is>
          <t>Pune</t>
        </is>
      </c>
      <c r="I14" s="29" t="inlineStr">
        <is>
          <t>Maharashtra</t>
        </is>
      </c>
      <c r="J14" s="29" t="n">
        <v>30</v>
      </c>
      <c r="K14" s="29" t="n">
        <v>450</v>
      </c>
      <c r="L14" s="29" t="n">
        <v>450</v>
      </c>
      <c r="M14" s="29" t="inlineStr">
        <is>
          <t>Delivered</t>
        </is>
      </c>
      <c r="N14" s="44" t="n">
        <v>46079</v>
      </c>
      <c r="O14" s="39" t="n"/>
      <c r="P14" s="46" t="n">
        <v>10</v>
      </c>
      <c r="Q14" s="46" t="n">
        <v>8000</v>
      </c>
      <c r="R14" s="47" t="n"/>
      <c r="S14" s="29" t="n"/>
      <c r="T14" s="29" t="n"/>
      <c r="U14" s="42" t="n"/>
    </row>
    <row r="15" ht="27.6" customFormat="1" customHeight="1" s="43">
      <c r="A15" s="53" t="inlineStr">
        <is>
          <t>2025-26/032</t>
        </is>
      </c>
      <c r="B15" s="29" t="n">
        <v>7</v>
      </c>
      <c r="C15" s="44" t="n">
        <v>46062</v>
      </c>
      <c r="D15" s="45" t="inlineStr">
        <is>
          <t>PREMIER SEALS INDIA PRIVATE LTD</t>
        </is>
      </c>
      <c r="E15" s="45" t="inlineStr">
        <is>
          <t>20/8, D-1 BLOCK, MIDC, CHINCHWAD, PUNE MAHARASHTRA 411019</t>
        </is>
      </c>
      <c r="F15" s="45" t="inlineStr">
        <is>
          <t xml:space="preserve">Mita </t>
        </is>
      </c>
      <c r="G15" s="45" t="n">
        <v>8956347535</v>
      </c>
      <c r="H15" s="29" t="inlineStr">
        <is>
          <t>Pune</t>
        </is>
      </c>
      <c r="I15" s="29" t="inlineStr">
        <is>
          <t>Maharashtra</t>
        </is>
      </c>
      <c r="J15" s="29" t="n">
        <v>44</v>
      </c>
      <c r="K15" s="29" t="n">
        <v>225</v>
      </c>
      <c r="L15" s="29" t="n">
        <v>225</v>
      </c>
      <c r="M15" s="29" t="inlineStr">
        <is>
          <t>Delivered</t>
        </is>
      </c>
      <c r="N15" s="41" t="n">
        <v>46063</v>
      </c>
      <c r="O15" s="39" t="n">
        <v>0</v>
      </c>
      <c r="P15" s="46" t="n">
        <v>10</v>
      </c>
      <c r="Q15" s="46">
        <f>P15*L15</f>
        <v/>
      </c>
      <c r="R15" s="47" t="n"/>
      <c r="S15" s="29" t="n"/>
      <c r="T15" s="29" t="n"/>
      <c r="U15" s="42" t="n"/>
    </row>
    <row r="16" ht="27.6" customFormat="1" customHeight="1" s="43">
      <c r="A16" s="53" t="inlineStr">
        <is>
          <t>2025-26/041</t>
        </is>
      </c>
      <c r="B16" s="29" t="n">
        <v>15</v>
      </c>
      <c r="C16" s="44" t="n">
        <v>46076</v>
      </c>
      <c r="D16" s="45" t="inlineStr">
        <is>
          <t>PREMIER SEALS INDIA PRIVATE LTD</t>
        </is>
      </c>
      <c r="E16" s="45" t="inlineStr">
        <is>
          <t>20/8, D-1 BLOCK, MIDC, CHINCHWAD, PUNE MAHARASHTRA 411019</t>
        </is>
      </c>
      <c r="F16" s="45" t="inlineStr">
        <is>
          <t xml:space="preserve">Mita </t>
        </is>
      </c>
      <c r="G16" s="45" t="n">
        <v>8956347535</v>
      </c>
      <c r="H16" s="29" t="inlineStr">
        <is>
          <t>Pune</t>
        </is>
      </c>
      <c r="I16" s="29" t="inlineStr">
        <is>
          <t>Maharashtra</t>
        </is>
      </c>
      <c r="J16" s="29" t="n">
        <v>38</v>
      </c>
      <c r="K16" s="29" t="n">
        <v>280</v>
      </c>
      <c r="L16" s="29" t="n">
        <v>280</v>
      </c>
      <c r="M16" s="29" t="inlineStr">
        <is>
          <t>Delivered</t>
        </is>
      </c>
      <c r="N16" s="44" t="n">
        <v>46077</v>
      </c>
      <c r="O16" s="39" t="n"/>
      <c r="P16" s="46" t="n">
        <v>10</v>
      </c>
      <c r="Q16" s="46">
        <f>P16*L16</f>
        <v/>
      </c>
      <c r="R16" s="47" t="n"/>
      <c r="S16" s="29" t="n"/>
      <c r="T16" s="29" t="n"/>
      <c r="U16" s="42" t="n"/>
    </row>
    <row r="17" ht="27.6" customFormat="1" customHeight="1" s="43">
      <c r="B17" s="29" t="n">
        <v>3</v>
      </c>
      <c r="C17" s="44" t="n">
        <v>46055</v>
      </c>
      <c r="D17" s="45" t="inlineStr">
        <is>
          <t>SAI ASSOCIATES</t>
        </is>
      </c>
      <c r="E17" s="45" t="inlineStr">
        <is>
          <t>M-24, ADDITIONAL MIDC, KODOLI, SATARA 415004,</t>
        </is>
      </c>
      <c r="F17" s="45" t="inlineStr">
        <is>
          <t>Sachin</t>
        </is>
      </c>
      <c r="G17" s="45" t="n">
        <v>9921594837</v>
      </c>
      <c r="H17" s="29" t="inlineStr">
        <is>
          <t>Satara</t>
        </is>
      </c>
      <c r="I17" s="29" t="inlineStr">
        <is>
          <t>Maharashtra</t>
        </is>
      </c>
      <c r="J17" s="29" t="n">
        <v>20</v>
      </c>
      <c r="K17" s="29" t="n">
        <v>216</v>
      </c>
      <c r="L17" s="29" t="n">
        <v>216</v>
      </c>
      <c r="M17" s="29" t="inlineStr">
        <is>
          <t>Delivered</t>
        </is>
      </c>
      <c r="N17" s="40" t="n">
        <v>46056</v>
      </c>
      <c r="O17" s="30" t="n">
        <v>1</v>
      </c>
      <c r="P17" s="46" t="n">
        <v>10</v>
      </c>
      <c r="Q17" s="46">
        <f>P17*L17</f>
        <v/>
      </c>
      <c r="R17" s="47" t="n"/>
      <c r="S17" s="29" t="n"/>
      <c r="T17" s="29" t="n"/>
      <c r="U17" s="42" t="n"/>
    </row>
    <row r="18" ht="27.6" customFormat="1" customHeight="1" s="43">
      <c r="B18" s="29" t="n">
        <v>20</v>
      </c>
      <c r="C18" s="41" t="n">
        <v>46078</v>
      </c>
      <c r="D18" s="45" t="inlineStr">
        <is>
          <t>SAI ASSOCIATES</t>
        </is>
      </c>
      <c r="E18" s="45" t="inlineStr">
        <is>
          <t>M-24, ADDITIONAL MIDC, KODOLI, SATARA 415004,</t>
        </is>
      </c>
      <c r="F18" s="45" t="inlineStr">
        <is>
          <t>Sachin</t>
        </is>
      </c>
      <c r="G18" s="45" t="n">
        <v>9921594837</v>
      </c>
      <c r="H18" s="29" t="inlineStr">
        <is>
          <t>Satara</t>
        </is>
      </c>
      <c r="I18" s="29" t="inlineStr">
        <is>
          <t>Maharashtra</t>
        </is>
      </c>
      <c r="J18" s="29" t="n">
        <v>3</v>
      </c>
      <c r="K18" s="29" t="n">
        <v>60</v>
      </c>
      <c r="L18" s="29" t="n">
        <v>60</v>
      </c>
      <c r="M18" s="29" t="inlineStr">
        <is>
          <t>Delivered</t>
        </is>
      </c>
      <c r="N18" s="44" t="n">
        <v>46079</v>
      </c>
      <c r="O18" s="39" t="n"/>
      <c r="P18" s="46" t="n">
        <v>10</v>
      </c>
      <c r="Q18" s="46">
        <f>P18*L18</f>
        <v/>
      </c>
      <c r="R18" s="47" t="n"/>
      <c r="S18" s="29" t="inlineStr">
        <is>
          <t>Third party</t>
        </is>
      </c>
      <c r="T18" s="42" t="n"/>
      <c r="U18" s="42" t="n">
        <v>600</v>
      </c>
    </row>
    <row r="19" ht="41.4" customFormat="1" customHeight="1" s="43">
      <c r="A19" s="53" t="inlineStr">
        <is>
          <t>2025-26/029</t>
        </is>
      </c>
      <c r="B19" s="29" t="n">
        <v>4</v>
      </c>
      <c r="C19" s="44" t="n">
        <v>46057</v>
      </c>
      <c r="D19" s="45" t="inlineStr">
        <is>
          <t>THANUSAR ENTERPRISES</t>
        </is>
      </c>
      <c r="E19" s="45" t="inlineStr">
        <is>
          <t>PLOT NO 4/50, ADHAR INDUSTRIAL PREMISES, SECTOR NO 10 MIDC, BHOSARI PUNE</t>
        </is>
      </c>
      <c r="F19" s="45" t="inlineStr">
        <is>
          <t>Vishnu</t>
        </is>
      </c>
      <c r="G19" s="76" t="n">
        <v>9036230620</v>
      </c>
      <c r="H19" s="29" t="inlineStr">
        <is>
          <t>Pune</t>
        </is>
      </c>
      <c r="I19" s="29" t="inlineStr">
        <is>
          <t>Maharashtra</t>
        </is>
      </c>
      <c r="J19" s="29" t="n">
        <v>11</v>
      </c>
      <c r="K19" s="29" t="n">
        <v>288.08</v>
      </c>
      <c r="L19" s="29" t="n">
        <v>288.08</v>
      </c>
      <c r="M19" s="29" t="inlineStr">
        <is>
          <t>Delivered</t>
        </is>
      </c>
      <c r="N19" s="44" t="n">
        <v>46062</v>
      </c>
      <c r="O19" s="39" t="n">
        <v>5</v>
      </c>
      <c r="P19" s="46" t="n">
        <v>10</v>
      </c>
      <c r="Q19" s="46">
        <f>P19*L19</f>
        <v/>
      </c>
      <c r="R19" s="47" t="n"/>
      <c r="S19" s="29" t="n"/>
      <c r="T19" s="29" t="n"/>
      <c r="U19" s="42" t="n"/>
    </row>
    <row r="20" ht="27.6" customFormat="1" customHeight="1" s="43">
      <c r="A20" s="53" t="inlineStr">
        <is>
          <t>2025-26/039</t>
        </is>
      </c>
      <c r="B20" s="29" t="n">
        <v>13</v>
      </c>
      <c r="C20" s="44" t="n">
        <v>46069</v>
      </c>
      <c r="D20" s="45" t="inlineStr">
        <is>
          <t>Trimurti Enterprises</t>
        </is>
      </c>
      <c r="E20" s="45" t="inlineStr">
        <is>
          <t>D-143, Five Star, MIDC Shendra, Chatrapati Sambhaji Nagar</t>
        </is>
      </c>
      <c r="F20" s="45" t="inlineStr">
        <is>
          <t>RAVI SIR</t>
        </is>
      </c>
      <c r="G20" s="45" t="n">
        <v>9075094520</v>
      </c>
      <c r="H20" s="20" t="inlineStr">
        <is>
          <t>Sambhaji nagar</t>
        </is>
      </c>
      <c r="I20" s="29" t="inlineStr">
        <is>
          <t>Maharashtra</t>
        </is>
      </c>
      <c r="J20" s="29" t="n">
        <v>28</v>
      </c>
      <c r="K20" s="29" t="n">
        <v>500</v>
      </c>
      <c r="L20" s="29" t="n">
        <v>457</v>
      </c>
      <c r="M20" s="29" t="inlineStr">
        <is>
          <t>Delivered</t>
        </is>
      </c>
      <c r="N20" s="44" t="n">
        <v>46070</v>
      </c>
      <c r="O20" s="39" t="n"/>
      <c r="P20" s="46" t="n">
        <v>10</v>
      </c>
      <c r="Q20" s="46">
        <f>P20*L20</f>
        <v/>
      </c>
      <c r="R20" s="47" t="n"/>
      <c r="S20" s="29" t="n"/>
      <c r="T20" s="29" t="n"/>
      <c r="U20" s="42" t="n"/>
    </row>
    <row r="21" ht="27.6" customFormat="1" customHeight="1" s="43">
      <c r="A21" s="75" t="inlineStr">
        <is>
          <t>2025-26/043</t>
        </is>
      </c>
      <c r="B21" s="29" t="n">
        <v>17</v>
      </c>
      <c r="C21" s="44" t="n">
        <v>46076</v>
      </c>
      <c r="D21" s="45" t="inlineStr">
        <is>
          <t>Trimurti Enterprises</t>
        </is>
      </c>
      <c r="E21" s="45" t="inlineStr">
        <is>
          <t>D-143, Five Star, MIDC Shendra, Chatrapati Sambhaji Nagar</t>
        </is>
      </c>
      <c r="F21" s="45" t="inlineStr">
        <is>
          <t>RAVI SIR</t>
        </is>
      </c>
      <c r="G21" s="45" t="n">
        <v>9075094520</v>
      </c>
      <c r="H21" s="20" t="inlineStr">
        <is>
          <t>Sambhaji nagar</t>
        </is>
      </c>
      <c r="I21" s="29" t="inlineStr">
        <is>
          <t>Maharashtra</t>
        </is>
      </c>
      <c r="J21" s="29" t="n">
        <v>34</v>
      </c>
      <c r="K21" s="29" t="n">
        <v>600</v>
      </c>
      <c r="L21" s="29" t="n">
        <v>600</v>
      </c>
      <c r="M21" s="29" t="inlineStr">
        <is>
          <t>Delivered</t>
        </is>
      </c>
      <c r="N21" s="44" t="n">
        <v>46079</v>
      </c>
      <c r="O21" s="39" t="n"/>
      <c r="P21" s="46" t="n">
        <v>10</v>
      </c>
      <c r="Q21" s="46" t="n">
        <v>8000</v>
      </c>
      <c r="R21" s="47" t="n"/>
      <c r="S21" s="29" t="inlineStr">
        <is>
          <t>velocity</t>
        </is>
      </c>
      <c r="T21" s="29" t="n"/>
      <c r="U21" s="42" t="n">
        <v>500</v>
      </c>
    </row>
    <row r="22" ht="14.4" customFormat="1" customHeight="1" s="43">
      <c r="A22" s="53" t="n"/>
      <c r="B22" s="29" t="n"/>
      <c r="C22" s="41" t="n"/>
      <c r="D22" s="45" t="n"/>
      <c r="E22" s="45" t="n"/>
      <c r="F22" s="45" t="n"/>
      <c r="G22" s="54" t="n"/>
      <c r="H22" s="29" t="n"/>
      <c r="I22" s="29" t="n"/>
      <c r="J22" s="29" t="n"/>
      <c r="K22" s="29" t="n"/>
      <c r="L22" s="29" t="n"/>
      <c r="M22" s="29" t="n"/>
      <c r="N22" s="41" t="n"/>
      <c r="O22" s="39" t="n"/>
      <c r="P22" s="46" t="n">
        <v>10</v>
      </c>
      <c r="Q22" s="46">
        <f>P22*L22</f>
        <v/>
      </c>
      <c r="R22" s="47" t="n"/>
      <c r="S22" s="29" t="n"/>
      <c r="T22" s="29" t="n"/>
      <c r="U22" s="42" t="n"/>
    </row>
    <row r="23" ht="14.4" customFormat="1" customHeight="1" s="43">
      <c r="A23" s="53" t="n"/>
      <c r="B23" s="29" t="n"/>
      <c r="C23" s="41" t="n"/>
      <c r="D23" s="45" t="n"/>
      <c r="E23" s="45" t="n"/>
      <c r="F23" s="45" t="n"/>
      <c r="G23" s="45" t="n"/>
      <c r="H23" s="29" t="n"/>
      <c r="I23" s="29" t="n"/>
      <c r="J23" s="29" t="n"/>
      <c r="K23" s="29" t="n"/>
      <c r="L23" s="29" t="n"/>
      <c r="M23" s="29" t="n"/>
      <c r="N23" s="41" t="n"/>
      <c r="O23" s="39" t="n"/>
      <c r="P23" s="46" t="n">
        <v>10</v>
      </c>
      <c r="Q23" s="46">
        <f>P23*L23</f>
        <v/>
      </c>
      <c r="R23" s="47" t="n"/>
      <c r="S23" s="29" t="n"/>
      <c r="T23" s="29" t="n"/>
      <c r="U23" s="42" t="n"/>
    </row>
    <row r="24" customFormat="1" s="43">
      <c r="A24" s="45" t="n"/>
      <c r="B24" s="29" t="n">
        <v>23</v>
      </c>
      <c r="C24" s="41" t="n"/>
      <c r="D24" s="45" t="n"/>
      <c r="E24" s="45" t="n"/>
      <c r="F24" s="45" t="n"/>
      <c r="G24" s="45" t="n"/>
      <c r="H24" s="29" t="n"/>
      <c r="I24" s="29" t="n"/>
      <c r="J24" s="29" t="n"/>
      <c r="K24" s="29" t="n"/>
      <c r="L24" s="29" t="n"/>
      <c r="M24" s="29" t="n"/>
      <c r="N24" s="41" t="n"/>
      <c r="O24" s="39" t="n"/>
      <c r="P24" s="46" t="n">
        <v>10</v>
      </c>
      <c r="Q24" s="46">
        <f>P24*L24</f>
        <v/>
      </c>
      <c r="R24" s="47" t="n"/>
      <c r="S24" s="29" t="n"/>
      <c r="T24" s="29" t="n"/>
      <c r="U24" s="42" t="n"/>
    </row>
    <row r="25" customFormat="1" s="43">
      <c r="A25" s="45" t="n"/>
      <c r="B25" s="29" t="n">
        <v>24</v>
      </c>
      <c r="C25" s="41" t="n"/>
      <c r="D25" s="45" t="n"/>
      <c r="E25" s="45" t="n"/>
      <c r="F25" s="45" t="n"/>
      <c r="G25" s="45" t="n"/>
      <c r="H25" s="29" t="n"/>
      <c r="I25" s="29" t="n"/>
      <c r="J25" s="29" t="n"/>
      <c r="K25" s="29" t="n"/>
      <c r="L25" s="29" t="n"/>
      <c r="M25" s="29" t="n"/>
      <c r="N25" s="41" t="n"/>
      <c r="O25" s="39" t="n"/>
      <c r="P25" s="46" t="n">
        <v>10</v>
      </c>
      <c r="Q25" s="46">
        <f>P25*L25</f>
        <v/>
      </c>
      <c r="R25" s="47" t="n"/>
      <c r="S25" s="29" t="n"/>
      <c r="T25" s="29" t="n"/>
      <c r="U25" s="42" t="n"/>
    </row>
    <row r="26" customFormat="1" s="43">
      <c r="A26" s="45" t="n"/>
      <c r="B26" s="29" t="n"/>
      <c r="C26" s="41" t="n"/>
      <c r="D26" s="45" t="n"/>
      <c r="E26" s="45" t="n"/>
      <c r="F26" s="45" t="n"/>
      <c r="G26" s="45" t="n"/>
      <c r="H26" s="29" t="n"/>
      <c r="I26" s="29" t="n"/>
      <c r="J26" s="29" t="n"/>
      <c r="K26" s="29" t="n"/>
      <c r="L26" s="29" t="n"/>
      <c r="M26" s="29" t="n"/>
      <c r="N26" s="41" t="n"/>
      <c r="O26" s="39" t="n"/>
      <c r="P26" s="46" t="n"/>
      <c r="Q26" s="46" t="n"/>
      <c r="R26" s="47" t="n"/>
      <c r="S26" s="29" t="n"/>
      <c r="T26" s="29" t="n"/>
      <c r="U26" s="42" t="n"/>
    </row>
    <row r="27" customFormat="1" s="43">
      <c r="A27" s="45" t="n"/>
      <c r="B27" s="29" t="n"/>
      <c r="C27" s="41" t="n"/>
      <c r="D27" s="45" t="n"/>
      <c r="E27" s="45" t="n"/>
      <c r="F27" s="45" t="n"/>
      <c r="G27" s="45" t="n"/>
      <c r="H27" s="45" t="n"/>
      <c r="I27" s="45" t="n"/>
      <c r="J27" s="29" t="n"/>
      <c r="K27" s="29" t="n"/>
      <c r="L27" s="29" t="n"/>
      <c r="M27" s="29" t="n"/>
      <c r="N27" s="41" t="n"/>
      <c r="O27" s="39" t="n"/>
      <c r="P27" s="46" t="n"/>
      <c r="Q27" s="46" t="n"/>
      <c r="R27" s="47" t="n"/>
      <c r="S27" s="29" t="n"/>
      <c r="T27" s="29" t="n"/>
      <c r="U27" s="42" t="n"/>
    </row>
    <row r="28" customFormat="1" s="43">
      <c r="A28" s="45" t="n"/>
      <c r="B28" s="29" t="n"/>
      <c r="C28" s="41" t="n"/>
      <c r="D28" s="45" t="n"/>
      <c r="E28" s="45" t="n"/>
      <c r="F28" s="45" t="n"/>
      <c r="G28" s="45" t="n"/>
      <c r="H28" s="29" t="n"/>
      <c r="I28" s="29" t="n"/>
      <c r="J28" s="29" t="n"/>
      <c r="K28" s="29" t="n"/>
      <c r="L28" s="29" t="n"/>
      <c r="M28" s="29" t="n"/>
      <c r="N28" s="41" t="n"/>
      <c r="O28" s="39" t="n"/>
      <c r="P28" s="46" t="n"/>
      <c r="Q28" s="46" t="n"/>
      <c r="R28" s="47" t="n"/>
      <c r="S28" s="29" t="n"/>
      <c r="T28" s="29" t="n"/>
      <c r="U28" s="42" t="n"/>
    </row>
    <row r="29" customFormat="1" s="43">
      <c r="A29" s="45" t="n"/>
      <c r="B29" s="29" t="n"/>
      <c r="C29" s="41" t="n"/>
      <c r="D29" s="45" t="n"/>
      <c r="E29" s="45" t="n"/>
      <c r="F29" s="45" t="n"/>
      <c r="G29" s="45" t="n"/>
      <c r="H29" s="29" t="n"/>
      <c r="I29" s="29" t="n"/>
      <c r="J29" s="29" t="n"/>
      <c r="K29" s="29" t="n"/>
      <c r="L29" s="29" t="n"/>
      <c r="M29" s="29" t="n"/>
      <c r="N29" s="41" t="n"/>
      <c r="O29" s="39" t="n"/>
      <c r="P29" s="46" t="n"/>
      <c r="Q29" s="46" t="n"/>
      <c r="R29" s="47" t="n"/>
      <c r="S29" s="29" t="n"/>
      <c r="T29" s="29" t="n"/>
      <c r="U29" s="42" t="n"/>
    </row>
    <row r="30" customFormat="1" s="43">
      <c r="A30" s="45" t="n"/>
      <c r="B30" s="29" t="n"/>
      <c r="C30" s="41" t="n"/>
      <c r="D30" s="45" t="n"/>
      <c r="E30" s="45" t="n"/>
      <c r="F30" s="45" t="n"/>
      <c r="G30" s="45" t="n"/>
      <c r="H30" s="29" t="n"/>
      <c r="I30" s="29" t="n"/>
      <c r="J30" s="29" t="n"/>
      <c r="K30" s="29" t="n"/>
      <c r="L30" s="29" t="n"/>
      <c r="M30" s="29" t="n"/>
      <c r="N30" s="41" t="n"/>
      <c r="O30" s="39" t="n"/>
      <c r="P30" s="46" t="n"/>
      <c r="Q30" s="46" t="n"/>
      <c r="R30" s="47" t="n"/>
      <c r="S30" s="29" t="n"/>
      <c r="T30" s="29" t="n"/>
      <c r="U30" s="42" t="n"/>
    </row>
    <row r="31" customFormat="1" s="43">
      <c r="A31" s="45" t="n"/>
      <c r="B31" s="29" t="n"/>
      <c r="C31" s="41" t="n"/>
      <c r="D31" s="45" t="n"/>
      <c r="E31" s="45" t="n"/>
      <c r="F31" s="45" t="n"/>
      <c r="G31" s="45" t="n"/>
      <c r="H31" s="29" t="n"/>
      <c r="I31" s="29" t="n"/>
      <c r="J31" s="29" t="n"/>
      <c r="K31" s="29" t="n"/>
      <c r="L31" s="29" t="n"/>
      <c r="M31" s="29" t="n"/>
      <c r="N31" s="41" t="n"/>
      <c r="O31" s="39" t="n"/>
      <c r="P31" s="46" t="n"/>
      <c r="Q31" s="46" t="n"/>
      <c r="R31" s="47" t="n"/>
      <c r="S31" s="29" t="n"/>
      <c r="T31" s="29" t="n"/>
      <c r="U31" s="42" t="n"/>
    </row>
    <row r="32" customFormat="1" s="43">
      <c r="A32" s="45" t="n"/>
      <c r="B32" s="29" t="n"/>
      <c r="C32" s="41" t="n"/>
      <c r="D32" s="45" t="n"/>
      <c r="E32" s="45" t="n"/>
      <c r="F32" s="45" t="n"/>
      <c r="G32" s="45" t="n"/>
      <c r="H32" s="29" t="n"/>
      <c r="I32" s="29" t="n"/>
      <c r="J32" s="29" t="n"/>
      <c r="K32" s="29" t="n"/>
      <c r="L32" s="29" t="n"/>
      <c r="M32" s="29" t="n"/>
      <c r="N32" s="41" t="n"/>
      <c r="O32" s="39" t="n"/>
      <c r="P32" s="46" t="n"/>
      <c r="Q32" s="46" t="n"/>
      <c r="R32" s="47" t="n"/>
      <c r="S32" s="29" t="n"/>
      <c r="T32" s="29" t="n"/>
      <c r="U32" s="42" t="n"/>
    </row>
    <row r="33" customFormat="1" s="43">
      <c r="A33" s="45" t="n"/>
      <c r="B33" s="29" t="n"/>
      <c r="C33" s="41" t="n"/>
      <c r="D33" s="45" t="n"/>
      <c r="E33" s="45" t="n"/>
      <c r="F33" s="45" t="n"/>
      <c r="G33" s="45" t="n"/>
      <c r="H33" s="29" t="n"/>
      <c r="I33" s="29" t="n"/>
      <c r="J33" s="29" t="n"/>
      <c r="K33" s="29" t="n"/>
      <c r="L33" s="29" t="n"/>
      <c r="M33" s="29" t="n"/>
      <c r="N33" s="41" t="n"/>
      <c r="O33" s="39" t="n"/>
      <c r="P33" s="46" t="n"/>
      <c r="Q33" s="46" t="n"/>
      <c r="R33" s="47" t="n"/>
      <c r="S33" s="29" t="n"/>
      <c r="T33" s="29" t="n"/>
      <c r="U33" s="42" t="n"/>
    </row>
    <row r="34" customFormat="1" s="43">
      <c r="A34" s="45" t="n"/>
      <c r="B34" s="29" t="n"/>
      <c r="C34" s="48" t="n"/>
      <c r="D34" s="49" t="n"/>
      <c r="E34" s="49" t="n"/>
      <c r="F34" s="49" t="n"/>
      <c r="G34" s="49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50" t="n"/>
      <c r="Q34" s="50" t="n"/>
      <c r="R34" s="47" t="n"/>
      <c r="S34" s="29" t="n"/>
      <c r="T34" s="29" t="n"/>
      <c r="U34" s="42" t="n"/>
    </row>
    <row r="35">
      <c r="Q35" s="47">
        <f>SUM(Q2:Q34)</f>
        <v/>
      </c>
      <c r="U35" s="47">
        <f>SUM(U2:U34)</f>
        <v/>
      </c>
    </row>
    <row r="36" customFormat="1" s="43">
      <c r="B36" s="47" t="n"/>
      <c r="C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29" t="inlineStr">
        <is>
          <t>Vehicle Rent</t>
        </is>
      </c>
      <c r="U36" s="42" t="n">
        <v>30000</v>
      </c>
    </row>
    <row r="37" customFormat="1" s="43">
      <c r="B37" s="47" t="n"/>
      <c r="C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29" t="inlineStr">
        <is>
          <t>CNG - Wk 1</t>
        </is>
      </c>
      <c r="U37" s="29" t="n">
        <v>3343</v>
      </c>
    </row>
    <row r="38" customFormat="1" s="43">
      <c r="B38" s="47" t="n"/>
      <c r="C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29" t="inlineStr">
        <is>
          <t>CNG - Wk 2</t>
        </is>
      </c>
      <c r="U38" s="29" t="n">
        <v>5636</v>
      </c>
    </row>
    <row r="39" customFormat="1" s="43">
      <c r="B39" s="47" t="n"/>
      <c r="C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29" t="inlineStr">
        <is>
          <t>CNG - Wk 3</t>
        </is>
      </c>
      <c r="U39" s="29" t="n">
        <v>3773</v>
      </c>
    </row>
    <row r="40" customFormat="1" s="43">
      <c r="B40" s="47" t="n"/>
      <c r="C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29" t="inlineStr">
        <is>
          <t>CNG - Wk 4</t>
        </is>
      </c>
      <c r="U40" s="43" t="n">
        <v>5384</v>
      </c>
    </row>
    <row r="41" customFormat="1" s="43">
      <c r="B41" s="47" t="n"/>
      <c r="C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51" t="n"/>
      <c r="U41" s="29" t="n"/>
    </row>
    <row r="42">
      <c r="T42" s="35" t="inlineStr">
        <is>
          <t>Total Expense</t>
        </is>
      </c>
      <c r="U42" s="47">
        <f>SUM(U35:U41)</f>
        <v/>
      </c>
    </row>
    <row r="43" customFormat="1" s="43">
      <c r="B43" s="47" t="n"/>
      <c r="C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51" t="n"/>
      <c r="U43" s="52" t="n"/>
    </row>
    <row r="44">
      <c r="T44" s="35" t="inlineStr">
        <is>
          <t>Total Profit</t>
        </is>
      </c>
      <c r="U44" s="47">
        <f>Q35-U42</f>
        <v/>
      </c>
    </row>
  </sheetData>
  <autoFilter ref="A1:Q25">
    <sortState ref="A2:Q25">
      <sortCondition ref="D1:D2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5"/>
  <sheetViews>
    <sheetView zoomScale="96" zoomScaleNormal="96" workbookViewId="0">
      <pane ySplit="1" topLeftCell="A53" activePane="bottomLeft" state="frozen"/>
      <selection pane="bottomLeft" activeCell="D62" sqref="D62"/>
    </sheetView>
  </sheetViews>
  <sheetFormatPr baseColWidth="8" defaultColWidth="8.88671875" defaultRowHeight="13.8"/>
  <cols>
    <col width="11.5546875" bestFit="1" customWidth="1" style="63" min="1" max="1"/>
    <col width="5.33203125" customWidth="1" style="63" min="2" max="2"/>
    <col width="12.33203125" customWidth="1" style="63" min="3" max="3"/>
    <col width="25.44140625" customWidth="1" style="58" min="4" max="4"/>
    <col width="33.109375" customWidth="1" style="58" min="5" max="5"/>
    <col width="14" customWidth="1" style="58" min="6" max="6"/>
    <col width="12.33203125" customWidth="1" style="58" min="7" max="7"/>
    <col width="11.6640625" customWidth="1" style="63" min="8" max="8"/>
    <col width="12.33203125" customWidth="1" style="63" min="9" max="9"/>
    <col width="9" customWidth="1" style="63" min="10" max="10"/>
    <col width="7.88671875" customWidth="1" style="63" min="11" max="11"/>
    <col width="9" customWidth="1" style="63" min="12" max="12"/>
    <col width="10.44140625" bestFit="1" customWidth="1" style="63" min="13" max="13"/>
    <col width="10.33203125" customWidth="1" style="63" min="14" max="14"/>
    <col width="8.6640625" customWidth="1" style="63" min="15" max="15"/>
    <col width="9" customWidth="1" style="63" min="16" max="16"/>
    <col width="11.33203125" bestFit="1" customWidth="1" style="63" min="17" max="17"/>
    <col width="1.88671875" customWidth="1" style="63" min="18" max="18"/>
    <col width="12" bestFit="1" customWidth="1" style="63" min="19" max="19"/>
    <col width="13.33203125" customWidth="1" style="63" min="20" max="20"/>
    <col width="12.44140625" bestFit="1" customWidth="1" style="63" min="21" max="21"/>
    <col width="20.6640625" customWidth="1" style="58" min="22" max="22"/>
    <col width="8.88671875" customWidth="1" style="63" min="23" max="23"/>
    <col width="8.88671875" customWidth="1" style="63" min="24" max="16384"/>
  </cols>
  <sheetData>
    <row r="1" ht="41.4" customFormat="1" customHeight="1" s="58">
      <c r="A1" s="56" t="inlineStr">
        <is>
          <t>LR NUMBER</t>
        </is>
      </c>
      <c r="B1" s="57" t="inlineStr">
        <is>
          <t>#</t>
        </is>
      </c>
      <c r="C1" s="57" t="inlineStr">
        <is>
          <t>Pickup Request Date</t>
        </is>
      </c>
      <c r="D1" s="57" t="inlineStr">
        <is>
          <t>Name</t>
        </is>
      </c>
      <c r="E1" s="57" t="inlineStr">
        <is>
          <t>Address</t>
        </is>
      </c>
      <c r="F1" s="57" t="inlineStr">
        <is>
          <t>Contact Person</t>
        </is>
      </c>
      <c r="G1" s="57" t="inlineStr">
        <is>
          <t>Contact Number</t>
        </is>
      </c>
      <c r="H1" s="57" t="inlineStr">
        <is>
          <t>City</t>
        </is>
      </c>
      <c r="I1" s="57" t="inlineStr">
        <is>
          <t>State</t>
        </is>
      </c>
      <c r="J1" s="57" t="inlineStr">
        <is>
          <t>No Of Boxes</t>
        </is>
      </c>
      <c r="K1" s="57" t="inlineStr">
        <is>
          <t>Weight as per EcoFleet</t>
        </is>
      </c>
      <c r="L1" s="57" t="inlineStr">
        <is>
          <t>Weight as per Optlog</t>
        </is>
      </c>
      <c r="M1" s="57" t="inlineStr">
        <is>
          <t>Status</t>
        </is>
      </c>
      <c r="N1" s="57" t="inlineStr">
        <is>
          <t xml:space="preserve">Delivered on </t>
        </is>
      </c>
      <c r="O1" s="57" t="inlineStr">
        <is>
          <t>TAT</t>
        </is>
      </c>
      <c r="P1" s="57" t="inlineStr">
        <is>
          <t>Rate</t>
        </is>
      </c>
      <c r="Q1" s="57" t="inlineStr">
        <is>
          <t>Amount</t>
        </is>
      </c>
      <c r="S1" s="57" t="inlineStr">
        <is>
          <t>Vendor</t>
        </is>
      </c>
      <c r="T1" s="57" t="inlineStr">
        <is>
          <t>Vendor Rate</t>
        </is>
      </c>
      <c r="U1" s="57" t="inlineStr">
        <is>
          <t>CNG Paid &amp; Vendor Payment</t>
        </is>
      </c>
    </row>
    <row r="2" ht="27.6" customFormat="1" customHeight="1" s="58">
      <c r="A2" s="59" t="n"/>
      <c r="B2" s="60" t="n">
        <v>1</v>
      </c>
      <c r="C2" s="55" t="n">
        <v>46080</v>
      </c>
      <c r="D2" s="56" t="inlineStr">
        <is>
          <t>Shekhar Brothers</t>
        </is>
      </c>
      <c r="E2" s="56" t="inlineStr">
        <is>
          <t>Plot No 58, Sector 6, Faridabad, Harayana - 121006</t>
        </is>
      </c>
      <c r="F2" s="56" t="inlineStr">
        <is>
          <t>Rajiv</t>
        </is>
      </c>
      <c r="G2" s="56" t="n">
        <v>8882838488</v>
      </c>
      <c r="H2" s="60" t="inlineStr">
        <is>
          <t>Faridabad</t>
        </is>
      </c>
      <c r="I2" s="60" t="inlineStr">
        <is>
          <t>Harayana</t>
        </is>
      </c>
      <c r="J2" s="57" t="n">
        <v>190</v>
      </c>
      <c r="K2" s="57" t="n">
        <v>2500</v>
      </c>
      <c r="L2" s="57" t="n">
        <v>2500</v>
      </c>
      <c r="M2" s="60" t="inlineStr">
        <is>
          <t>Delivered</t>
        </is>
      </c>
      <c r="N2" s="61" t="n"/>
      <c r="O2" s="57" t="n">
        <v>1</v>
      </c>
      <c r="P2" s="57" t="n">
        <v>10</v>
      </c>
      <c r="Q2" s="57" t="n">
        <v>34424</v>
      </c>
      <c r="S2" s="57" t="inlineStr">
        <is>
          <t>DELIVERY</t>
        </is>
      </c>
      <c r="T2" s="57" t="n"/>
      <c r="U2" s="57" t="n">
        <v>34424</v>
      </c>
    </row>
    <row r="3" ht="41.4" customFormat="1" customHeight="1" s="58">
      <c r="A3" s="59" t="inlineStr">
        <is>
          <t>2025-26/045</t>
        </is>
      </c>
      <c r="B3" s="60" t="n">
        <v>2</v>
      </c>
      <c r="C3" s="55" t="n">
        <v>46081</v>
      </c>
      <c r="D3" s="56" t="inlineStr">
        <is>
          <t>THANUSAR ENTERPRISES</t>
        </is>
      </c>
      <c r="E3" s="56" t="inlineStr">
        <is>
          <t>PLOT NO 4/50, ADHAR INDUSTRIAL PREMISES, SECTOR NO 10 MIDC, BHOSARI PUNE</t>
        </is>
      </c>
      <c r="F3" s="56" t="inlineStr">
        <is>
          <t>Vishnu/kiran</t>
        </is>
      </c>
      <c r="G3" s="54" t="inlineStr">
        <is>
          <t>9036230620 / 9003133891</t>
        </is>
      </c>
      <c r="H3" s="60" t="inlineStr">
        <is>
          <t>Pune</t>
        </is>
      </c>
      <c r="I3" s="60" t="inlineStr">
        <is>
          <t>Maharashtra</t>
        </is>
      </c>
      <c r="J3" s="60" t="n">
        <v>11</v>
      </c>
      <c r="K3" s="60" t="n">
        <v>217.95</v>
      </c>
      <c r="L3" s="60" t="n">
        <v>218</v>
      </c>
      <c r="M3" s="60" t="inlineStr">
        <is>
          <t>Delivered</t>
        </is>
      </c>
      <c r="N3" s="61" t="n">
        <v>46082</v>
      </c>
      <c r="O3" s="57" t="n">
        <v>1</v>
      </c>
      <c r="P3" s="105" t="n">
        <v>10</v>
      </c>
      <c r="Q3" s="105">
        <f>P3*L3</f>
        <v/>
      </c>
      <c r="R3" s="63" t="n"/>
      <c r="S3" s="60" t="n"/>
      <c r="T3" s="60" t="n"/>
      <c r="U3" s="64" t="n"/>
    </row>
    <row r="4" ht="27.6" customFormat="1" customHeight="1" s="58">
      <c r="A4" s="59" t="inlineStr">
        <is>
          <t>2025-26/046</t>
        </is>
      </c>
      <c r="B4" s="60" t="n">
        <v>1</v>
      </c>
      <c r="C4" s="55" t="n">
        <v>46081</v>
      </c>
      <c r="D4" s="56" t="inlineStr">
        <is>
          <t>FERYEZ POLYMER PVT LTD</t>
        </is>
      </c>
      <c r="E4" s="56" t="inlineStr">
        <is>
          <t>SR.NO.172, CHICHWADGAON, PUNE 411033 MAHARASHTRA</t>
        </is>
      </c>
      <c r="F4" s="56" t="inlineStr">
        <is>
          <t xml:space="preserve">Sandip </t>
        </is>
      </c>
      <c r="G4" s="56" t="n">
        <v>9503161311</v>
      </c>
      <c r="H4" s="60" t="inlineStr">
        <is>
          <t>Pune</t>
        </is>
      </c>
      <c r="I4" s="60" t="inlineStr">
        <is>
          <t>Maharashtra</t>
        </is>
      </c>
      <c r="J4" s="60" t="n">
        <v>26</v>
      </c>
      <c r="K4" s="60" t="n">
        <v>650</v>
      </c>
      <c r="L4" s="60" t="n">
        <v>650</v>
      </c>
      <c r="M4" s="60" t="inlineStr">
        <is>
          <t>Delivered</t>
        </is>
      </c>
      <c r="N4" s="61" t="n">
        <v>46082</v>
      </c>
      <c r="O4" s="57" t="n">
        <v>1</v>
      </c>
      <c r="P4" s="105" t="n">
        <v>10</v>
      </c>
      <c r="Q4" s="105">
        <f>P4*L4</f>
        <v/>
      </c>
      <c r="R4" s="63" t="n"/>
      <c r="S4" s="60" t="n"/>
      <c r="T4" s="60" t="n"/>
      <c r="U4" s="64" t="n"/>
    </row>
    <row r="5" ht="41.4" customFormat="1" customHeight="1" s="58">
      <c r="A5" s="59" t="inlineStr">
        <is>
          <t>2025-26/047</t>
        </is>
      </c>
      <c r="B5" s="60" t="n">
        <v>4</v>
      </c>
      <c r="C5" s="55" t="n">
        <v>46083</v>
      </c>
      <c r="D5" s="56" t="inlineStr">
        <is>
          <t>LALIT INDUSTRIES BULIDING</t>
        </is>
      </c>
      <c r="E5" s="56" t="inlineStr">
        <is>
          <t>NO.6, GALA NO 101, MITTAL INDUSTRIES ESTATE, ANDHERI KURLA ROAD, M.V. ROAD, MUMBAI 400059</t>
        </is>
      </c>
      <c r="F5" s="63" t="inlineStr">
        <is>
          <t>Rakesh</t>
        </is>
      </c>
      <c r="G5" s="56" t="n">
        <v>7021056086</v>
      </c>
      <c r="H5" s="60" t="inlineStr">
        <is>
          <t>Mumbai</t>
        </is>
      </c>
      <c r="I5" s="60" t="inlineStr">
        <is>
          <t>Maharashtra</t>
        </is>
      </c>
      <c r="J5" s="60" t="n">
        <v>39</v>
      </c>
      <c r="K5" s="60" t="n">
        <v>542</v>
      </c>
      <c r="L5" s="60" t="n">
        <v>542</v>
      </c>
      <c r="M5" s="60" t="inlineStr">
        <is>
          <t>Delivered</t>
        </is>
      </c>
      <c r="N5" s="55" t="n">
        <v>46084</v>
      </c>
      <c r="O5" s="65" t="n">
        <v>5</v>
      </c>
      <c r="P5" s="105" t="n">
        <v>10</v>
      </c>
      <c r="Q5" s="105">
        <f>P5*L5</f>
        <v/>
      </c>
      <c r="R5" s="60" t="n"/>
      <c r="S5" s="60" t="inlineStr">
        <is>
          <t>VELOCITY</t>
        </is>
      </c>
      <c r="T5" s="64" t="n">
        <v>5</v>
      </c>
      <c r="U5" s="64" t="n">
        <v>2710</v>
      </c>
    </row>
    <row r="6" ht="14.4" customHeight="1">
      <c r="A6" s="59" t="inlineStr">
        <is>
          <t>2025-26/048</t>
        </is>
      </c>
      <c r="B6" s="60" t="n">
        <v>5</v>
      </c>
      <c r="C6" s="55" t="n">
        <v>46083</v>
      </c>
      <c r="D6" s="56" t="inlineStr">
        <is>
          <t>AKAR AUTO INDUSTRIES LIMIT</t>
        </is>
      </c>
      <c r="E6" s="56" t="inlineStr">
        <is>
          <t>E 5 MIDC WALUJ, AURANGABAD</t>
        </is>
      </c>
      <c r="F6" s="56" t="inlineStr">
        <is>
          <t>Mushtaq</t>
        </is>
      </c>
      <c r="G6" s="56" t="n">
        <v>9890997721</v>
      </c>
      <c r="H6" s="60" t="inlineStr">
        <is>
          <t>Sambhaji nagar</t>
        </is>
      </c>
      <c r="I6" s="60" t="inlineStr">
        <is>
          <t>Maharashtra</t>
        </is>
      </c>
      <c r="J6" s="60" t="n">
        <v>176</v>
      </c>
      <c r="K6" s="60" t="n">
        <v>3500</v>
      </c>
      <c r="L6" s="60" t="n">
        <v>3500</v>
      </c>
      <c r="M6" s="60" t="inlineStr">
        <is>
          <t>Delivered</t>
        </is>
      </c>
      <c r="N6" s="55" t="n">
        <v>46084</v>
      </c>
      <c r="O6" s="65" t="n">
        <v>5</v>
      </c>
      <c r="P6" s="105" t="n">
        <v>10</v>
      </c>
      <c r="Q6" s="105" t="n">
        <v>15000</v>
      </c>
      <c r="R6" s="60" t="n"/>
      <c r="S6" s="60" t="inlineStr">
        <is>
          <t>Third Party</t>
        </is>
      </c>
      <c r="T6" s="64" t="n"/>
      <c r="U6" s="60" t="n">
        <v>9000</v>
      </c>
      <c r="V6" s="63" t="n"/>
    </row>
    <row r="7" ht="27.6" customHeight="1">
      <c r="A7" s="59" t="inlineStr">
        <is>
          <t>2025-26/049</t>
        </is>
      </c>
      <c r="B7" s="60" t="n">
        <v>6</v>
      </c>
      <c r="C7" s="55" t="n">
        <v>46085</v>
      </c>
      <c r="D7" s="56" t="inlineStr">
        <is>
          <t>PREMIER SEALS INDIA PRIVATE LTD</t>
        </is>
      </c>
      <c r="E7" s="56" t="inlineStr">
        <is>
          <t>20/8, D-1 BLOCK, MIDC, CHINCHWAD, PUNE MAHARASHTRA 411019</t>
        </is>
      </c>
      <c r="F7" s="56" t="inlineStr">
        <is>
          <t xml:space="preserve">Mita </t>
        </is>
      </c>
      <c r="G7" s="56" t="n">
        <v>8956347535</v>
      </c>
      <c r="H7" s="60" t="inlineStr">
        <is>
          <t>Pune</t>
        </is>
      </c>
      <c r="I7" s="60" t="inlineStr">
        <is>
          <t>Maharashtra</t>
        </is>
      </c>
      <c r="J7" s="60" t="n">
        <v>79</v>
      </c>
      <c r="K7" s="60" t="n">
        <v>412</v>
      </c>
      <c r="L7" s="60" t="n">
        <v>412</v>
      </c>
      <c r="M7" s="60" t="inlineStr">
        <is>
          <t>Delivered</t>
        </is>
      </c>
      <c r="N7" s="55" t="n">
        <v>46085</v>
      </c>
      <c r="O7" s="65" t="n">
        <v>0</v>
      </c>
      <c r="P7" s="105" t="n">
        <v>10</v>
      </c>
      <c r="Q7" s="105">
        <f>P7*L7</f>
        <v/>
      </c>
      <c r="S7" s="60" t="n"/>
      <c r="T7" s="60" t="n"/>
      <c r="U7" s="64" t="n"/>
      <c r="V7" s="63" t="n"/>
    </row>
    <row r="8" ht="27.6" customFormat="1" customHeight="1" s="58">
      <c r="A8" s="59" t="inlineStr">
        <is>
          <t>2025-26/050</t>
        </is>
      </c>
      <c r="B8" s="60" t="n">
        <v>7</v>
      </c>
      <c r="C8" s="55" t="n">
        <v>46085</v>
      </c>
      <c r="D8" s="56" t="inlineStr">
        <is>
          <t>PACOLINE INDUSTRIES PRIVATE LIMITED</t>
        </is>
      </c>
      <c r="E8" s="56" t="inlineStr">
        <is>
          <t>21 Hadapsar Indl Estate  Pune 411013</t>
        </is>
      </c>
      <c r="F8" s="56" t="inlineStr">
        <is>
          <t>SOURAV</t>
        </is>
      </c>
      <c r="G8" s="56" t="n">
        <v>9552519571</v>
      </c>
      <c r="H8" s="60" t="inlineStr">
        <is>
          <t>Pune</t>
        </is>
      </c>
      <c r="I8" s="60" t="inlineStr">
        <is>
          <t>Maharashtra</t>
        </is>
      </c>
      <c r="J8" s="60" t="n">
        <v>16</v>
      </c>
      <c r="K8" s="60" t="n">
        <v>250</v>
      </c>
      <c r="L8" s="60" t="n">
        <v>250</v>
      </c>
      <c r="M8" s="60" t="inlineStr">
        <is>
          <t>Delivered</t>
        </is>
      </c>
      <c r="N8" s="55" t="n">
        <v>46085</v>
      </c>
      <c r="O8" s="65" t="n">
        <v>0</v>
      </c>
      <c r="P8" s="105" t="n">
        <v>10</v>
      </c>
      <c r="Q8" s="105">
        <f>P8*L8</f>
        <v/>
      </c>
      <c r="R8" s="63" t="n"/>
      <c r="S8" s="60" t="n"/>
      <c r="T8" s="60" t="n"/>
      <c r="U8" s="64" t="n"/>
    </row>
    <row r="9" ht="27.6" customFormat="1" customHeight="1" s="58">
      <c r="A9" s="59" t="inlineStr">
        <is>
          <t>2025-26/051</t>
        </is>
      </c>
      <c r="B9" s="60" t="n">
        <v>8</v>
      </c>
      <c r="C9" s="55" t="n">
        <v>46085</v>
      </c>
      <c r="D9" s="56" t="inlineStr">
        <is>
          <t>PACOLINE INDUSTRIES PRIVATE LIMITED</t>
        </is>
      </c>
      <c r="E9" s="56" t="inlineStr">
        <is>
          <t>21 Hadapsar Indl Estate  Pune 411013</t>
        </is>
      </c>
      <c r="F9" s="56" t="inlineStr">
        <is>
          <t>SOURAV</t>
        </is>
      </c>
      <c r="G9" s="56" t="n">
        <v>9552519571</v>
      </c>
      <c r="H9" s="60" t="inlineStr">
        <is>
          <t>Pune</t>
        </is>
      </c>
      <c r="I9" s="60" t="inlineStr">
        <is>
          <t>Maharashtra</t>
        </is>
      </c>
      <c r="J9" s="60" t="n">
        <v>16</v>
      </c>
      <c r="K9" s="60" t="n">
        <v>225</v>
      </c>
      <c r="L9" s="60" t="n">
        <v>225</v>
      </c>
      <c r="M9" s="60" t="inlineStr">
        <is>
          <t>Delivered</t>
        </is>
      </c>
      <c r="N9" s="66" t="n">
        <v>46086</v>
      </c>
      <c r="O9" s="65" t="inlineStr">
        <is>
          <t>no</t>
        </is>
      </c>
      <c r="P9" s="105" t="n">
        <v>10</v>
      </c>
      <c r="Q9" s="105" t="n">
        <v>4000</v>
      </c>
      <c r="R9" s="63" t="n"/>
      <c r="S9" s="60" t="n"/>
      <c r="T9" s="60" t="n"/>
      <c r="U9" s="64" t="n"/>
    </row>
    <row r="10" ht="41.4" customFormat="1" customHeight="1" s="58">
      <c r="A10" s="59" t="inlineStr">
        <is>
          <t>2025-26/052</t>
        </is>
      </c>
      <c r="B10" s="60" t="n">
        <v>9</v>
      </c>
      <c r="C10" s="55" t="n">
        <v>46059</v>
      </c>
      <c r="D10" s="56" t="inlineStr">
        <is>
          <t>NIKY PRECISION(MULAY POLYMERS PVT. LTD.)</t>
        </is>
      </c>
      <c r="E10" s="56" t="inlineStr">
        <is>
          <t>Gat No 679/2/1 Plot No. 30/6, Chakan Alandi Road, Tal.-Khed Dist.-Pune-410501.</t>
        </is>
      </c>
      <c r="F10" s="56" t="inlineStr">
        <is>
          <t xml:space="preserve">Rajkumar </t>
        </is>
      </c>
      <c r="G10" s="56" t="n">
        <v>9156575795</v>
      </c>
      <c r="H10" s="60" t="inlineStr">
        <is>
          <t>Pune</t>
        </is>
      </c>
      <c r="I10" s="60" t="inlineStr">
        <is>
          <t>Maharashtra</t>
        </is>
      </c>
      <c r="J10" s="60" t="n">
        <v>47</v>
      </c>
      <c r="K10" s="60" t="n">
        <v>423</v>
      </c>
      <c r="L10" s="60" t="n">
        <v>423</v>
      </c>
      <c r="M10" s="60" t="inlineStr">
        <is>
          <t>Delivered</t>
        </is>
      </c>
      <c r="N10" s="66" t="n">
        <v>46087</v>
      </c>
      <c r="O10" s="65" t="n">
        <v>0</v>
      </c>
      <c r="P10" s="105" t="n">
        <v>10</v>
      </c>
      <c r="Q10" s="105" t="n">
        <v>4230</v>
      </c>
      <c r="R10" s="63" t="n"/>
      <c r="S10" s="60" t="n"/>
      <c r="T10" s="60" t="n"/>
      <c r="U10" s="64" t="n"/>
    </row>
    <row r="11" ht="27.6" customFormat="1" customHeight="1" s="58">
      <c r="A11" s="59" t="inlineStr">
        <is>
          <t>2025-26/053</t>
        </is>
      </c>
      <c r="B11" s="60" t="n">
        <v>10</v>
      </c>
      <c r="C11" s="55" t="n">
        <v>46059</v>
      </c>
      <c r="D11" s="56" t="inlineStr">
        <is>
          <t>ASTRA AUTOLITES</t>
        </is>
      </c>
      <c r="E11" s="56" t="inlineStr">
        <is>
          <t>GAT NO, 139B, ALANDI MARKAL ROAD, PUNE - 412105</t>
        </is>
      </c>
      <c r="F11" s="56" t="inlineStr">
        <is>
          <t>Flavia</t>
        </is>
      </c>
      <c r="G11" s="56" t="n">
        <v>9960525493</v>
      </c>
      <c r="H11" s="60" t="inlineStr">
        <is>
          <t>Pune</t>
        </is>
      </c>
      <c r="I11" s="60" t="inlineStr">
        <is>
          <t>Maharashtra</t>
        </is>
      </c>
      <c r="J11" s="60" t="n">
        <v>14</v>
      </c>
      <c r="K11" s="60" t="n">
        <v>77</v>
      </c>
      <c r="L11" s="60" t="n">
        <v>77</v>
      </c>
      <c r="M11" s="60" t="inlineStr">
        <is>
          <t>Delivered</t>
        </is>
      </c>
      <c r="N11" s="66" t="n">
        <v>46087</v>
      </c>
      <c r="O11" s="65" t="n">
        <v>0</v>
      </c>
      <c r="P11" s="105" t="n">
        <v>10</v>
      </c>
      <c r="Q11" s="105">
        <f>P11*L11</f>
        <v/>
      </c>
      <c r="R11" s="63" t="n"/>
      <c r="S11" s="60" t="n"/>
      <c r="T11" s="60" t="n"/>
      <c r="U11" s="64" t="n"/>
    </row>
    <row r="12" ht="27.6" customFormat="1" customHeight="1" s="58">
      <c r="A12" s="59" t="inlineStr">
        <is>
          <t>2025-26/054</t>
        </is>
      </c>
      <c r="B12" s="60" t="n">
        <v>11</v>
      </c>
      <c r="C12" s="55" t="n">
        <v>46088</v>
      </c>
      <c r="D12" s="56" t="inlineStr">
        <is>
          <t>FERYEZ POLYMER PVT LTD</t>
        </is>
      </c>
      <c r="E12" s="56" t="inlineStr">
        <is>
          <t>SR.NO.172, CHICHWADGAON, PUNE 411033 MAHARASHTRA</t>
        </is>
      </c>
      <c r="F12" s="56" t="inlineStr">
        <is>
          <t xml:space="preserve">Sandip </t>
        </is>
      </c>
      <c r="G12" s="56" t="n">
        <v>9503161311</v>
      </c>
      <c r="H12" s="60" t="inlineStr">
        <is>
          <t>Pune</t>
        </is>
      </c>
      <c r="I12" s="60" t="inlineStr">
        <is>
          <t>Maharashtra</t>
        </is>
      </c>
      <c r="J12" s="60" t="n">
        <v>40</v>
      </c>
      <c r="K12" s="60" t="n">
        <v>725</v>
      </c>
      <c r="L12" s="60" t="n">
        <v>725</v>
      </c>
      <c r="M12" s="60" t="inlineStr">
        <is>
          <t>Delivered</t>
        </is>
      </c>
      <c r="N12" s="66" t="n">
        <v>46090</v>
      </c>
      <c r="O12" s="65" t="inlineStr">
        <is>
          <t>no</t>
        </is>
      </c>
      <c r="P12" s="105" t="n">
        <v>10</v>
      </c>
      <c r="Q12" s="105">
        <f>P12*L12</f>
        <v/>
      </c>
      <c r="R12" s="63" t="n"/>
      <c r="S12" s="60" t="n"/>
      <c r="T12" s="60" t="n"/>
      <c r="U12" s="64" t="n"/>
    </row>
    <row r="13" ht="14.4" customFormat="1" customHeight="1" s="58">
      <c r="A13" s="59" t="inlineStr">
        <is>
          <t>2025-26/055</t>
        </is>
      </c>
      <c r="B13" s="60" t="n">
        <v>12</v>
      </c>
      <c r="C13" s="55" t="n">
        <v>46088</v>
      </c>
      <c r="D13" s="56" t="inlineStr">
        <is>
          <t>Lumax industries</t>
        </is>
      </c>
      <c r="E13" s="56" t="inlineStr">
        <is>
          <t>D2/43-44 MIDC INDL Area Chinchwad</t>
        </is>
      </c>
      <c r="F13" s="56" t="inlineStr">
        <is>
          <t>Sandeep</t>
        </is>
      </c>
      <c r="G13" s="56" t="n">
        <v>9657704906</v>
      </c>
      <c r="H13" s="60" t="inlineStr">
        <is>
          <t>Pune</t>
        </is>
      </c>
      <c r="I13" s="60" t="inlineStr">
        <is>
          <t>Maharashtra</t>
        </is>
      </c>
      <c r="J13" s="60" t="n">
        <v>4</v>
      </c>
      <c r="K13" s="60" t="n">
        <v>45</v>
      </c>
      <c r="L13" s="60" t="n">
        <v>45</v>
      </c>
      <c r="M13" s="60" t="inlineStr">
        <is>
          <t>Delivered</t>
        </is>
      </c>
      <c r="N13" s="66" t="n">
        <v>46090</v>
      </c>
      <c r="O13" s="65" t="n">
        <v>0</v>
      </c>
      <c r="P13" s="105" t="n">
        <v>10</v>
      </c>
      <c r="Q13" s="105">
        <f>P13*L13</f>
        <v/>
      </c>
      <c r="R13" s="63" t="n"/>
      <c r="S13" s="60" t="n"/>
      <c r="T13" s="60" t="n"/>
      <c r="U13" s="64" t="n"/>
    </row>
    <row r="14" ht="27.6" customFormat="1" customHeight="1" s="58">
      <c r="A14" s="59" t="inlineStr">
        <is>
          <t>2025-26/056</t>
        </is>
      </c>
      <c r="B14" s="60" t="n">
        <v>13</v>
      </c>
      <c r="C14" s="55" t="n">
        <v>46091</v>
      </c>
      <c r="D14" s="56" t="inlineStr">
        <is>
          <t>TANISHQ PRECISION FASTENERS LLP</t>
        </is>
      </c>
      <c r="E14" s="56" t="inlineStr">
        <is>
          <t>GAT NO – 877, NIGHOJE, TAL -KHED, CHAKAN, PUNE-410501</t>
        </is>
      </c>
      <c r="F14" s="56" t="inlineStr">
        <is>
          <t>Sanjay</t>
        </is>
      </c>
      <c r="G14" s="56" t="n">
        <v>9579951621</v>
      </c>
      <c r="H14" s="60" t="inlineStr">
        <is>
          <t>Pune</t>
        </is>
      </c>
      <c r="I14" s="60" t="inlineStr">
        <is>
          <t>Maharashtra</t>
        </is>
      </c>
      <c r="J14" s="60" t="n">
        <v>8</v>
      </c>
      <c r="K14" s="60" t="n">
        <v>247</v>
      </c>
      <c r="L14" s="60" t="n">
        <v>247</v>
      </c>
      <c r="M14" s="60" t="inlineStr">
        <is>
          <t>Delivered</t>
        </is>
      </c>
      <c r="N14" s="55" t="n">
        <v>46092</v>
      </c>
      <c r="O14" s="65" t="n">
        <v>0</v>
      </c>
      <c r="P14" s="105" t="n">
        <v>10</v>
      </c>
      <c r="Q14" s="105" t="n">
        <v>2000</v>
      </c>
      <c r="R14" s="63" t="n"/>
      <c r="S14" s="60" t="n"/>
      <c r="T14" s="60" t="n"/>
      <c r="U14" s="64" t="n"/>
    </row>
    <row r="15" ht="31.95" customFormat="1" customHeight="1" s="58">
      <c r="A15" s="59" t="inlineStr">
        <is>
          <t>2025-26/057</t>
        </is>
      </c>
      <c r="B15" s="60" t="n">
        <v>14</v>
      </c>
      <c r="C15" s="55" t="n">
        <v>46091</v>
      </c>
      <c r="D15" s="56" t="inlineStr">
        <is>
          <t>THANUSAR ENTERPRISES</t>
        </is>
      </c>
      <c r="E15" s="56" t="inlineStr">
        <is>
          <t>PLOT NO 4/50, ADHAR INDUSTRIAL PREMISES, SECTOR NO 10 MIDC, BHOSARI PUNE</t>
        </is>
      </c>
      <c r="F15" s="56" t="inlineStr">
        <is>
          <t>Vishnu/kiran</t>
        </is>
      </c>
      <c r="G15" s="54" t="inlineStr">
        <is>
          <t>9036230620 / 9003133891</t>
        </is>
      </c>
      <c r="H15" s="60" t="inlineStr">
        <is>
          <t>Pune</t>
        </is>
      </c>
      <c r="I15" s="60" t="inlineStr">
        <is>
          <t>Maharashtra</t>
        </is>
      </c>
      <c r="J15" s="60" t="n">
        <v>8</v>
      </c>
      <c r="K15" s="60" t="n">
        <v>200</v>
      </c>
      <c r="L15" s="60" t="n">
        <v>191</v>
      </c>
      <c r="M15" s="60" t="inlineStr">
        <is>
          <t>Delivered</t>
        </is>
      </c>
      <c r="N15" s="55" t="n">
        <v>46092</v>
      </c>
      <c r="O15" s="65" t="n">
        <v>0</v>
      </c>
      <c r="P15" s="105" t="n">
        <v>10</v>
      </c>
      <c r="Q15" s="105" t="n">
        <v>2000</v>
      </c>
      <c r="R15" s="63" t="n"/>
      <c r="S15" s="60" t="n"/>
      <c r="T15" s="60" t="n"/>
      <c r="U15" s="64" t="n"/>
    </row>
    <row r="16" ht="41.4" customFormat="1" customHeight="1" s="58">
      <c r="A16" s="59" t="inlineStr">
        <is>
          <t>2025-26/058</t>
        </is>
      </c>
      <c r="B16" s="60" t="n">
        <v>15</v>
      </c>
      <c r="C16" s="55" t="n">
        <v>46091</v>
      </c>
      <c r="D16" s="56" t="inlineStr">
        <is>
          <t>LALIT INDUSTRIES BULIDING</t>
        </is>
      </c>
      <c r="E16" s="56" t="inlineStr">
        <is>
          <t>NO.6, GALA NO 101, MITTAL INDUSTRIES ESTATE, ANDHERI KURLA ROAD, M.V. ROAD, MUMBAI 400059</t>
        </is>
      </c>
      <c r="F16" s="63" t="inlineStr">
        <is>
          <t>Rakesh</t>
        </is>
      </c>
      <c r="G16" s="56" t="n">
        <v>7021056086</v>
      </c>
      <c r="H16" s="60" t="inlineStr">
        <is>
          <t>Mumbai</t>
        </is>
      </c>
      <c r="I16" s="60" t="inlineStr">
        <is>
          <t>Maharashtra</t>
        </is>
      </c>
      <c r="J16" s="60" t="n">
        <v>9</v>
      </c>
      <c r="K16" s="60" t="n">
        <v>125</v>
      </c>
      <c r="L16" s="60" t="n">
        <v>125</v>
      </c>
      <c r="M16" s="60" t="inlineStr">
        <is>
          <t>Delivered</t>
        </is>
      </c>
      <c r="N16" s="55" t="n">
        <v>46092</v>
      </c>
      <c r="O16" s="65" t="n">
        <v>0</v>
      </c>
      <c r="P16" s="105" t="n">
        <v>10</v>
      </c>
      <c r="Q16" s="105" t="n">
        <v>1250</v>
      </c>
      <c r="R16" s="63" t="n"/>
      <c r="S16" s="60" t="n"/>
      <c r="T16" s="60" t="n"/>
      <c r="U16" s="64" t="n"/>
    </row>
    <row r="17" ht="41.4" customFormat="1" customHeight="1" s="58">
      <c r="A17" s="59" t="inlineStr">
        <is>
          <t>2025-26/059</t>
        </is>
      </c>
      <c r="B17" s="60" t="n">
        <v>16</v>
      </c>
      <c r="C17" s="55" t="n">
        <v>46091</v>
      </c>
      <c r="D17" s="56" t="inlineStr">
        <is>
          <t>NIKY PRECISION ENGINEERS PRIVATE LIMITED</t>
        </is>
      </c>
      <c r="E17" s="56" t="inlineStr">
        <is>
          <t xml:space="preserve"> PLOT NO 15, GALA NO 1, 3, 5, 7, PLOT NO 9, S NO 38/2/18, 16, NARHE, PUNE-411041</t>
        </is>
      </c>
      <c r="F17" s="56" t="inlineStr">
        <is>
          <t>Jeevan</t>
        </is>
      </c>
      <c r="G17" s="56" t="n">
        <v>8446006021</v>
      </c>
      <c r="H17" s="60" t="inlineStr">
        <is>
          <t>Pune</t>
        </is>
      </c>
      <c r="I17" s="60" t="inlineStr">
        <is>
          <t>Maharashtra</t>
        </is>
      </c>
      <c r="J17" s="60" t="n">
        <v>13</v>
      </c>
      <c r="K17" s="60" t="n">
        <v>186</v>
      </c>
      <c r="L17" s="60" t="n">
        <v>186</v>
      </c>
      <c r="M17" s="60" t="inlineStr">
        <is>
          <t>Delivered</t>
        </is>
      </c>
      <c r="N17" s="55" t="n">
        <v>46092</v>
      </c>
      <c r="O17" s="65" t="n">
        <v>0</v>
      </c>
      <c r="P17" s="105" t="n">
        <v>10</v>
      </c>
      <c r="Q17" s="105" t="n">
        <v>1860</v>
      </c>
      <c r="R17" s="63" t="n"/>
      <c r="S17" s="60" t="n"/>
      <c r="T17" s="60" t="n"/>
      <c r="U17" s="64" t="n"/>
    </row>
    <row r="18" ht="41.4" customFormat="1" customHeight="1" s="58">
      <c r="A18" s="59" t="inlineStr">
        <is>
          <t>2025-26/059</t>
        </is>
      </c>
      <c r="B18" s="60" t="n"/>
      <c r="C18" s="55" t="n">
        <v>46091</v>
      </c>
      <c r="D18" s="56" t="inlineStr">
        <is>
          <t>NIKY PRECISION(MULAY POLYMERS PVT. LTD.)</t>
        </is>
      </c>
      <c r="E18" s="56" t="inlineStr">
        <is>
          <t>Gat No 679/2/1 Plot No. 30/6, Chakan Alandi Road, Tal.-Khed Dist.-Pune-410501.</t>
        </is>
      </c>
      <c r="F18" s="56" t="inlineStr">
        <is>
          <t xml:space="preserve">Rajkumar </t>
        </is>
      </c>
      <c r="G18" s="56" t="n">
        <v>9156575795</v>
      </c>
      <c r="H18" s="60" t="inlineStr">
        <is>
          <t>Pune</t>
        </is>
      </c>
      <c r="I18" s="60" t="inlineStr">
        <is>
          <t>Maharashtra</t>
        </is>
      </c>
      <c r="J18" s="60" t="n">
        <v>5</v>
      </c>
      <c r="K18" s="60" t="n">
        <v>50</v>
      </c>
      <c r="L18" s="60" t="n">
        <v>50</v>
      </c>
      <c r="M18" s="60" t="inlineStr">
        <is>
          <t>Delivered</t>
        </is>
      </c>
      <c r="N18" s="55" t="n">
        <v>46092</v>
      </c>
      <c r="O18" s="65" t="n">
        <v>0</v>
      </c>
      <c r="P18" s="105" t="n">
        <v>10</v>
      </c>
      <c r="Q18" s="105" t="n">
        <v>500</v>
      </c>
      <c r="R18" s="63" t="n"/>
      <c r="S18" s="60" t="n"/>
      <c r="T18" s="64" t="n"/>
      <c r="U18" s="64" t="n"/>
    </row>
    <row r="19" ht="27.6" customFormat="1" customHeight="1" s="58">
      <c r="A19" s="59" t="inlineStr">
        <is>
          <t>2025-26/060</t>
        </is>
      </c>
      <c r="B19" s="60" t="n">
        <v>17</v>
      </c>
      <c r="C19" s="55" t="n">
        <v>46091</v>
      </c>
      <c r="D19" s="56" t="inlineStr">
        <is>
          <t>Perfect Cam Profile Pvt Ltd</t>
        </is>
      </c>
      <c r="E19" s="56" t="inlineStr">
        <is>
          <t>Address: Plot No S 55, Bhosari Industrial Estate, Pune - 411026</t>
        </is>
      </c>
      <c r="F19" s="56" t="inlineStr">
        <is>
          <t>Mehul Patel</t>
        </is>
      </c>
      <c r="G19" s="56" t="inlineStr">
        <is>
          <t>9860040965/7436901742</t>
        </is>
      </c>
      <c r="H19" s="60" t="inlineStr">
        <is>
          <t>Pune</t>
        </is>
      </c>
      <c r="I19" s="60" t="inlineStr">
        <is>
          <t>Maharashtra</t>
        </is>
      </c>
      <c r="J19" s="60" t="n">
        <v>145</v>
      </c>
      <c r="K19" s="60" t="n">
        <v>3000</v>
      </c>
      <c r="L19" s="60" t="n">
        <v>3000</v>
      </c>
      <c r="M19" s="60" t="inlineStr">
        <is>
          <t>Delivered</t>
        </is>
      </c>
      <c r="N19" s="55" t="n">
        <v>46092</v>
      </c>
      <c r="O19" s="65" t="inlineStr">
        <is>
          <t>no</t>
        </is>
      </c>
      <c r="P19" s="105" t="n">
        <v>10</v>
      </c>
      <c r="Q19" s="105" t="n">
        <v>12000</v>
      </c>
      <c r="R19" s="63" t="n"/>
      <c r="S19" s="60" t="inlineStr">
        <is>
          <t>Third Party</t>
        </is>
      </c>
      <c r="T19" s="60" t="n"/>
      <c r="U19" s="64" t="n">
        <v>7000</v>
      </c>
    </row>
    <row r="20" ht="27.6" customFormat="1" customHeight="1" s="58">
      <c r="A20" s="59" t="inlineStr">
        <is>
          <t>2025-26/061</t>
        </is>
      </c>
      <c r="B20" s="60" t="n">
        <v>19</v>
      </c>
      <c r="C20" s="55" t="n">
        <v>46091</v>
      </c>
      <c r="D20" s="56" t="inlineStr">
        <is>
          <t>PACOLINE INDUSTRIES PRIVATE LIMITED</t>
        </is>
      </c>
      <c r="E20" s="56" t="inlineStr">
        <is>
          <t>21 Hadapsar Indl Estate  Pune 411013</t>
        </is>
      </c>
      <c r="F20" s="56" t="inlineStr">
        <is>
          <t>SOURAV</t>
        </is>
      </c>
      <c r="G20" s="56" t="n">
        <v>9552519571</v>
      </c>
      <c r="H20" s="60" t="inlineStr">
        <is>
          <t>Pune</t>
        </is>
      </c>
      <c r="I20" s="60" t="inlineStr">
        <is>
          <t>Maharashtra</t>
        </is>
      </c>
      <c r="J20" s="60" t="n">
        <v>8</v>
      </c>
      <c r="K20" s="60" t="n">
        <v>156</v>
      </c>
      <c r="L20" s="60" t="n">
        <v>156</v>
      </c>
      <c r="M20" s="60" t="inlineStr">
        <is>
          <t>Delivered</t>
        </is>
      </c>
      <c r="N20" s="55" t="n">
        <v>46092</v>
      </c>
      <c r="O20" s="65" t="inlineStr">
        <is>
          <t>no</t>
        </is>
      </c>
      <c r="P20" s="105" t="n">
        <v>10</v>
      </c>
      <c r="Q20" s="105" t="n">
        <v>1560</v>
      </c>
      <c r="R20" s="63" t="n"/>
      <c r="S20" s="60" t="n"/>
      <c r="T20" s="60" t="n"/>
      <c r="U20" s="64" t="n"/>
    </row>
    <row r="21" customFormat="1" s="58">
      <c r="A21" s="56" t="n"/>
      <c r="B21" s="60" t="n">
        <v>20</v>
      </c>
      <c r="C21" s="55" t="n">
        <v>46091</v>
      </c>
      <c r="D21" s="56" t="inlineStr">
        <is>
          <t>mrp lebels</t>
        </is>
      </c>
      <c r="E21" s="56" t="inlineStr">
        <is>
          <t>BTPL</t>
        </is>
      </c>
      <c r="F21" s="56" t="n"/>
      <c r="G21" s="56" t="n"/>
      <c r="H21" s="60" t="n"/>
      <c r="I21" s="60" t="n"/>
      <c r="J21" s="60" t="n">
        <v>8</v>
      </c>
      <c r="K21" s="60" t="n">
        <v>224</v>
      </c>
      <c r="L21" s="60" t="n">
        <v>224</v>
      </c>
      <c r="M21" s="60" t="inlineStr">
        <is>
          <t>Delivered</t>
        </is>
      </c>
      <c r="N21" s="55" t="n">
        <v>46092</v>
      </c>
      <c r="O21" s="65" t="n">
        <v>0</v>
      </c>
      <c r="P21" s="105" t="n">
        <v>10</v>
      </c>
      <c r="Q21" s="105">
        <f>P21*L21</f>
        <v/>
      </c>
      <c r="R21" s="63" t="n"/>
      <c r="S21" s="60" t="n"/>
      <c r="T21" s="60" t="n"/>
      <c r="U21" s="64" t="n"/>
    </row>
    <row r="22" ht="14.4" customFormat="1" customHeight="1" s="58">
      <c r="A22" s="59" t="n"/>
      <c r="B22" s="60" t="n">
        <v>21</v>
      </c>
      <c r="C22" s="66" t="n">
        <v>46093</v>
      </c>
      <c r="D22" s="56" t="inlineStr">
        <is>
          <t>PRINTER &amp; PEPAR</t>
        </is>
      </c>
      <c r="E22" s="56" t="inlineStr">
        <is>
          <t>BENCHMARK</t>
        </is>
      </c>
      <c r="F22" s="56" t="n"/>
      <c r="G22" s="54" t="n"/>
      <c r="H22" s="60" t="n"/>
      <c r="I22" s="60" t="n"/>
      <c r="J22" s="60" t="n"/>
      <c r="K22" s="60" t="n"/>
      <c r="L22" s="60" t="n"/>
      <c r="M22" s="60" t="inlineStr">
        <is>
          <t>Delivered</t>
        </is>
      </c>
      <c r="N22" s="66" t="n">
        <v>46093</v>
      </c>
      <c r="O22" s="65" t="n">
        <v>0</v>
      </c>
      <c r="P22" s="105" t="n">
        <v>10</v>
      </c>
      <c r="Q22" s="105" t="n"/>
      <c r="R22" s="63" t="n"/>
      <c r="S22" s="60" t="n"/>
      <c r="T22" s="60" t="n"/>
      <c r="U22" s="64" t="n"/>
    </row>
    <row r="23" ht="27.6" customFormat="1" customHeight="1" s="58">
      <c r="A23" s="59" t="inlineStr">
        <is>
          <t>2025-26/062</t>
        </is>
      </c>
      <c r="B23" s="60" t="n">
        <v>22</v>
      </c>
      <c r="C23" s="66" t="n">
        <v>46094</v>
      </c>
      <c r="D23" s="56" t="inlineStr">
        <is>
          <t>PACOLINE INDUSTRIES PRIVATE LIMITED</t>
        </is>
      </c>
      <c r="E23" s="56" t="inlineStr">
        <is>
          <t>21 Hadapsar Indl Estate  Pune 411013</t>
        </is>
      </c>
      <c r="F23" s="56" t="inlineStr">
        <is>
          <t>SOURAV</t>
        </is>
      </c>
      <c r="G23" s="56" t="n">
        <v>9552519571</v>
      </c>
      <c r="H23" s="60" t="inlineStr">
        <is>
          <t>Pune</t>
        </is>
      </c>
      <c r="I23" s="60" t="inlineStr">
        <is>
          <t>Maharashtra</t>
        </is>
      </c>
      <c r="J23" s="60" t="n">
        <v>12</v>
      </c>
      <c r="K23" s="60" t="n">
        <v>175</v>
      </c>
      <c r="L23" s="60" t="n">
        <v>175</v>
      </c>
      <c r="M23" s="60" t="inlineStr">
        <is>
          <t>Delivered</t>
        </is>
      </c>
      <c r="N23" s="66" t="n">
        <v>46094</v>
      </c>
      <c r="O23" s="65" t="inlineStr">
        <is>
          <t>no</t>
        </is>
      </c>
      <c r="P23" s="105" t="n">
        <v>10</v>
      </c>
      <c r="Q23" s="105" t="n">
        <v>4000</v>
      </c>
      <c r="R23" s="63" t="n"/>
      <c r="S23" s="60" t="n"/>
      <c r="T23" s="60" t="n"/>
      <c r="U23" s="64" t="n"/>
    </row>
    <row r="24" ht="14.4" customFormat="1" customHeight="1" s="58">
      <c r="A24" s="59" t="inlineStr">
        <is>
          <t>2025-26/063</t>
        </is>
      </c>
      <c r="B24" s="60" t="n">
        <v>23</v>
      </c>
      <c r="C24" s="66" t="n">
        <v>46094</v>
      </c>
      <c r="D24" s="56" t="inlineStr">
        <is>
          <t>Lumax industries</t>
        </is>
      </c>
      <c r="E24" s="56" t="inlineStr">
        <is>
          <t>D2/43-44 MIDC INDL Area Chinchwad</t>
        </is>
      </c>
      <c r="F24" s="56" t="inlineStr">
        <is>
          <t>Sandeep</t>
        </is>
      </c>
      <c r="G24" s="56" t="n">
        <v>9657704906</v>
      </c>
      <c r="H24" s="60" t="inlineStr">
        <is>
          <t>Pune</t>
        </is>
      </c>
      <c r="I24" s="60" t="inlineStr">
        <is>
          <t>Maharashtra</t>
        </is>
      </c>
      <c r="J24" s="60" t="n">
        <v>1</v>
      </c>
      <c r="K24" s="60" t="n">
        <v>10</v>
      </c>
      <c r="L24" s="60" t="n">
        <v>10</v>
      </c>
      <c r="M24" s="60" t="inlineStr">
        <is>
          <t>Delivered</t>
        </is>
      </c>
      <c r="N24" s="66" t="n">
        <v>46094</v>
      </c>
      <c r="O24" s="65" t="inlineStr">
        <is>
          <t>no</t>
        </is>
      </c>
      <c r="P24" s="105" t="n">
        <v>10</v>
      </c>
      <c r="Q24" s="105" t="n"/>
      <c r="R24" s="63" t="n"/>
      <c r="S24" s="60" t="n"/>
      <c r="T24" s="60" t="n"/>
      <c r="U24" s="64" t="n"/>
    </row>
    <row r="25" ht="27.6" customFormat="1" customHeight="1" s="58">
      <c r="A25" s="59" t="inlineStr">
        <is>
          <t>2025-26/064</t>
        </is>
      </c>
      <c r="B25" s="60" t="n">
        <v>24</v>
      </c>
      <c r="C25" s="66" t="n">
        <v>46095</v>
      </c>
      <c r="D25" s="56" t="inlineStr">
        <is>
          <t>FERYEZ POLYMER PVT LTD</t>
        </is>
      </c>
      <c r="E25" s="56" t="inlineStr">
        <is>
          <t>SR.NO.172, CHICHWADGAON, PUNE 411033 MAHARASHTRA</t>
        </is>
      </c>
      <c r="F25" s="56" t="inlineStr">
        <is>
          <t xml:space="preserve">Sandip </t>
        </is>
      </c>
      <c r="G25" s="56" t="n">
        <v>9503161311</v>
      </c>
      <c r="H25" s="60" t="inlineStr">
        <is>
          <t>Pune</t>
        </is>
      </c>
      <c r="I25" s="60" t="inlineStr">
        <is>
          <t>Maharashtra</t>
        </is>
      </c>
      <c r="J25" s="60" t="n">
        <v>3</v>
      </c>
      <c r="K25" s="60" t="n">
        <v>54</v>
      </c>
      <c r="L25" s="60" t="n">
        <v>54</v>
      </c>
      <c r="M25" s="60" t="inlineStr">
        <is>
          <t>Delivered</t>
        </is>
      </c>
      <c r="N25" s="66" t="n">
        <v>46098</v>
      </c>
      <c r="O25" s="65" t="n">
        <v>0</v>
      </c>
      <c r="P25" s="105" t="n">
        <v>10</v>
      </c>
      <c r="Q25" s="105">
        <f>P25*L25</f>
        <v/>
      </c>
      <c r="R25" s="63" t="n"/>
      <c r="S25" s="60" t="n"/>
      <c r="T25" s="60" t="n"/>
      <c r="U25" s="64" t="n"/>
    </row>
    <row r="26" ht="27.6" customFormat="1" customHeight="1" s="58">
      <c r="A26" s="59" t="inlineStr">
        <is>
          <t>2025-26/065</t>
        </is>
      </c>
      <c r="B26" s="60" t="n">
        <v>25</v>
      </c>
      <c r="C26" s="66" t="n">
        <v>46095</v>
      </c>
      <c r="D26" s="56" t="inlineStr">
        <is>
          <t>PREMIER SEALS INDIA PRIVATE LTD</t>
        </is>
      </c>
      <c r="E26" s="56" t="inlineStr">
        <is>
          <t>20/8, D-1 BLOCK, MIDC, CHINCHWAD, PUNE MAHARASHTRA 411019</t>
        </is>
      </c>
      <c r="F26" s="56" t="inlineStr">
        <is>
          <t xml:space="preserve">Mita </t>
        </is>
      </c>
      <c r="G26" s="56" t="n">
        <v>8956347535</v>
      </c>
      <c r="H26" s="60" t="inlineStr">
        <is>
          <t>Pune</t>
        </is>
      </c>
      <c r="I26" s="60" t="inlineStr">
        <is>
          <t>Maharashtra</t>
        </is>
      </c>
      <c r="J26" s="60" t="n">
        <v>11</v>
      </c>
      <c r="K26" s="60" t="n">
        <v>198</v>
      </c>
      <c r="L26" s="60" t="n">
        <v>198</v>
      </c>
      <c r="M26" s="60" t="inlineStr">
        <is>
          <t>Delivered</t>
        </is>
      </c>
      <c r="N26" s="66" t="n">
        <v>46098</v>
      </c>
      <c r="O26" s="65" t="n">
        <v>0</v>
      </c>
      <c r="P26" s="105" t="n">
        <v>10</v>
      </c>
      <c r="Q26" s="105" t="n">
        <v>1980</v>
      </c>
      <c r="R26" s="63" t="n"/>
      <c r="S26" s="60" t="n"/>
      <c r="T26" s="60" t="n"/>
      <c r="U26" s="64" t="n"/>
    </row>
    <row r="27" customFormat="1" s="58">
      <c r="A27" s="56" t="n"/>
      <c r="B27" s="60" t="n">
        <v>26</v>
      </c>
      <c r="C27" s="66" t="n">
        <v>46095</v>
      </c>
      <c r="D27" s="56" t="inlineStr">
        <is>
          <t>mrp lebels</t>
        </is>
      </c>
      <c r="E27" s="56" t="inlineStr">
        <is>
          <t>BTPL</t>
        </is>
      </c>
      <c r="F27" s="56" t="n"/>
      <c r="G27" s="56" t="n"/>
      <c r="H27" s="56" t="n"/>
      <c r="I27" s="56" t="n"/>
      <c r="J27" s="60" t="n">
        <v>3</v>
      </c>
      <c r="K27" s="60" t="n">
        <v>84</v>
      </c>
      <c r="L27" s="60" t="n">
        <v>84</v>
      </c>
      <c r="M27" s="60" t="inlineStr">
        <is>
          <t>Delivered</t>
        </is>
      </c>
      <c r="N27" s="66" t="n">
        <v>46098</v>
      </c>
      <c r="O27" s="65" t="n">
        <v>0</v>
      </c>
      <c r="P27" s="105" t="n">
        <v>10</v>
      </c>
      <c r="Q27" s="105" t="n">
        <v>1080</v>
      </c>
      <c r="R27" s="63" t="n"/>
      <c r="S27" s="60" t="inlineStr">
        <is>
          <t>Third Party</t>
        </is>
      </c>
      <c r="T27" s="60" t="inlineStr">
        <is>
          <t xml:space="preserve"> </t>
        </is>
      </c>
      <c r="U27" s="64" t="n">
        <v>240</v>
      </c>
    </row>
    <row r="28" ht="27.6" customFormat="1" customHeight="1" s="58">
      <c r="A28" s="59" t="inlineStr">
        <is>
          <t>2025-26/066</t>
        </is>
      </c>
      <c r="B28" s="60" t="n">
        <v>27</v>
      </c>
      <c r="C28" s="66" t="n">
        <v>46097</v>
      </c>
      <c r="D28" s="56" t="inlineStr">
        <is>
          <t>JAI BHAVANI MATA ENGITECH PRIVATE LIMITED</t>
        </is>
      </c>
      <c r="E28" s="56" t="inlineStr">
        <is>
          <t>681, LANDEWADI, BHOSARI . BHOSARI , PUNE – 411026</t>
        </is>
      </c>
      <c r="F28" s="56" t="inlineStr">
        <is>
          <t>Balaji</t>
        </is>
      </c>
      <c r="G28" s="56" t="n">
        <v>9765567788</v>
      </c>
      <c r="H28" s="60" t="inlineStr">
        <is>
          <t>Pune</t>
        </is>
      </c>
      <c r="I28" s="60" t="inlineStr">
        <is>
          <t>Maharashtra</t>
        </is>
      </c>
      <c r="J28" s="60" t="n">
        <v>10</v>
      </c>
      <c r="K28" s="60" t="n">
        <v>200</v>
      </c>
      <c r="L28" s="60" t="n">
        <v>178</v>
      </c>
      <c r="M28" s="60" t="inlineStr">
        <is>
          <t>Delivered</t>
        </is>
      </c>
      <c r="N28" s="66" t="n">
        <v>46098</v>
      </c>
      <c r="O28" s="65" t="n">
        <v>0</v>
      </c>
      <c r="P28" s="105" t="n">
        <v>10</v>
      </c>
      <c r="Q28" s="105" t="n">
        <v>1780</v>
      </c>
      <c r="R28" s="63" t="n"/>
      <c r="S28" s="60" t="n"/>
      <c r="T28" s="60" t="n"/>
      <c r="U28" s="64" t="n"/>
    </row>
    <row r="29" ht="41.4" customFormat="1" customHeight="1" s="58">
      <c r="A29" s="59" t="inlineStr">
        <is>
          <t>2025-26/067</t>
        </is>
      </c>
      <c r="B29" s="60" t="n">
        <v>28</v>
      </c>
      <c r="C29" s="66" t="n">
        <v>46097</v>
      </c>
      <c r="D29" s="56" t="inlineStr">
        <is>
          <t>NIKY PRECISION(MULAY POLYMERS PVT. LTD.)</t>
        </is>
      </c>
      <c r="E29" s="56" t="inlineStr">
        <is>
          <t>Gat No 679/2/1 Plot No. 30/6, Chakan Alandi Road, Tal.-Khed Dist.-Pune-410501.</t>
        </is>
      </c>
      <c r="F29" s="56" t="inlineStr">
        <is>
          <t xml:space="preserve">Rajkumar </t>
        </is>
      </c>
      <c r="G29" s="56" t="n">
        <v>9156575795</v>
      </c>
      <c r="H29" s="60" t="inlineStr">
        <is>
          <t>Pune</t>
        </is>
      </c>
      <c r="I29" s="60" t="inlineStr">
        <is>
          <t>Maharashtra</t>
        </is>
      </c>
      <c r="J29" s="60" t="n">
        <v>31</v>
      </c>
      <c r="K29" s="60" t="n">
        <v>310</v>
      </c>
      <c r="L29" s="60" t="n">
        <v>310</v>
      </c>
      <c r="M29" s="60" t="inlineStr">
        <is>
          <t>Delivered</t>
        </is>
      </c>
      <c r="N29" s="66" t="n">
        <v>46098</v>
      </c>
      <c r="O29" s="65" t="n">
        <v>0</v>
      </c>
      <c r="P29" s="105" t="n">
        <v>10</v>
      </c>
      <c r="Q29" s="105" t="n">
        <v>3100</v>
      </c>
      <c r="R29" s="63" t="n"/>
      <c r="S29" s="60" t="n"/>
      <c r="T29" s="60" t="n"/>
      <c r="U29" s="64" t="n"/>
    </row>
    <row r="30" ht="27.6" customFormat="1" customHeight="1" s="58">
      <c r="A30" s="59" t="inlineStr">
        <is>
          <t>2025-26/068</t>
        </is>
      </c>
      <c r="B30" s="60" t="n">
        <v>29</v>
      </c>
      <c r="C30" s="66" t="n">
        <v>46097</v>
      </c>
      <c r="D30" s="56" t="inlineStr">
        <is>
          <t>PACOLINE INDUSTRIES PRIVATE LIMITED</t>
        </is>
      </c>
      <c r="E30" s="56" t="inlineStr">
        <is>
          <t>21 Hadapsar Indl Estate  Pune 411013</t>
        </is>
      </c>
      <c r="F30" s="56" t="inlineStr">
        <is>
          <t>SOURAV</t>
        </is>
      </c>
      <c r="G30" s="56" t="n">
        <v>9552519571</v>
      </c>
      <c r="H30" s="60" t="inlineStr">
        <is>
          <t>Pune</t>
        </is>
      </c>
      <c r="I30" s="60" t="inlineStr">
        <is>
          <t>Maharashtra</t>
        </is>
      </c>
      <c r="J30" s="60" t="n">
        <v>42</v>
      </c>
      <c r="K30" s="60" t="n">
        <v>638</v>
      </c>
      <c r="L30" s="60" t="n">
        <v>638</v>
      </c>
      <c r="M30" s="60" t="inlineStr">
        <is>
          <t>Delivered</t>
        </is>
      </c>
      <c r="N30" s="66" t="n">
        <v>46097</v>
      </c>
      <c r="O30" s="65" t="inlineStr">
        <is>
          <t>no</t>
        </is>
      </c>
      <c r="P30" s="105" t="n">
        <v>10</v>
      </c>
      <c r="Q30" s="105" t="n">
        <v>8000</v>
      </c>
      <c r="R30" s="63" t="n"/>
      <c r="S30" s="60" t="inlineStr">
        <is>
          <t>PORTER</t>
        </is>
      </c>
      <c r="T30" s="60" t="n"/>
      <c r="U30" s="64" t="n">
        <v>5093</v>
      </c>
    </row>
    <row r="31" ht="27.6" customFormat="1" customHeight="1" s="58">
      <c r="A31" s="56" t="n"/>
      <c r="B31" s="60" t="n">
        <v>30</v>
      </c>
      <c r="C31" s="66" t="n">
        <v>46097</v>
      </c>
      <c r="D31" s="56" t="inlineStr">
        <is>
          <t>SAI ASSOCIATES</t>
        </is>
      </c>
      <c r="E31" s="56" t="inlineStr">
        <is>
          <t>M-24, ADDITIONAL MIDC, KODOLI, SATARA 415004,</t>
        </is>
      </c>
      <c r="F31" s="56" t="inlineStr">
        <is>
          <t>Sachin</t>
        </is>
      </c>
      <c r="G31" s="56" t="n">
        <v>9921594837</v>
      </c>
      <c r="H31" s="60" t="inlineStr">
        <is>
          <t>Satara</t>
        </is>
      </c>
      <c r="I31" s="60" t="inlineStr">
        <is>
          <t>Maharashtra</t>
        </is>
      </c>
      <c r="J31" s="60" t="n">
        <v>1</v>
      </c>
      <c r="K31" s="60" t="n">
        <v>24</v>
      </c>
      <c r="L31" s="60" t="n">
        <v>24</v>
      </c>
      <c r="M31" s="60" t="inlineStr">
        <is>
          <t>Delivered</t>
        </is>
      </c>
      <c r="N31" s="66" t="n">
        <v>46097</v>
      </c>
      <c r="O31" s="65" t="inlineStr">
        <is>
          <t>no</t>
        </is>
      </c>
      <c r="P31" s="105" t="n">
        <v>10</v>
      </c>
      <c r="Q31" s="105" t="n">
        <v>360</v>
      </c>
      <c r="R31" s="63" t="n"/>
      <c r="S31" s="60" t="inlineStr">
        <is>
          <t>CARGOLING</t>
        </is>
      </c>
      <c r="T31" s="60" t="n"/>
      <c r="U31" s="64" t="n">
        <v>360</v>
      </c>
    </row>
    <row r="32" ht="27.6" customFormat="1" customHeight="1" s="58">
      <c r="A32" s="56" t="n"/>
      <c r="B32" s="60" t="n">
        <v>31</v>
      </c>
      <c r="C32" s="66" t="n">
        <v>46097</v>
      </c>
      <c r="D32" s="56" t="inlineStr">
        <is>
          <t>PRATIBHA ENTERPRISES</t>
        </is>
      </c>
      <c r="E32" s="56" t="inlineStr">
        <is>
          <t>J BLOCK PLOT NI-280 BHOSARI MIDC PUNE 411026</t>
        </is>
      </c>
      <c r="F32" s="56" t="n"/>
      <c r="G32" s="56" t="n"/>
      <c r="H32" s="60" t="inlineStr">
        <is>
          <t>PUNE</t>
        </is>
      </c>
      <c r="I32" s="60" t="inlineStr">
        <is>
          <t>Maharashtra</t>
        </is>
      </c>
      <c r="J32" s="60" t="n">
        <v>2</v>
      </c>
      <c r="K32" s="60" t="n">
        <v>60</v>
      </c>
      <c r="L32" s="60" t="n">
        <v>60</v>
      </c>
      <c r="M32" s="60" t="inlineStr">
        <is>
          <t>Delivered</t>
        </is>
      </c>
      <c r="N32" s="66" t="n">
        <v>46097</v>
      </c>
      <c r="O32" s="65" t="inlineStr">
        <is>
          <t>no</t>
        </is>
      </c>
      <c r="P32" s="105" t="n">
        <v>10</v>
      </c>
      <c r="Q32" s="105" t="n">
        <v>600</v>
      </c>
      <c r="R32" s="63" t="n"/>
      <c r="S32" s="60" t="n"/>
      <c r="T32" s="60" t="n"/>
      <c r="U32" s="64" t="n"/>
    </row>
    <row r="33" ht="27.6" customFormat="1" customHeight="1" s="58">
      <c r="A33" s="59" t="inlineStr">
        <is>
          <t>2025-26/069</t>
        </is>
      </c>
      <c r="B33" s="60" t="n">
        <v>32</v>
      </c>
      <c r="C33" s="66" t="n">
        <v>46098</v>
      </c>
      <c r="D33" s="56" t="inlineStr">
        <is>
          <t>FERYEZ POLYMER PVT LTD</t>
        </is>
      </c>
      <c r="E33" s="56" t="inlineStr">
        <is>
          <t>SR.NO.172, CHICHWADGAON, PUNE 411033 MAHARASHTRA</t>
        </is>
      </c>
      <c r="F33" s="56" t="inlineStr">
        <is>
          <t xml:space="preserve">Sandip </t>
        </is>
      </c>
      <c r="G33" s="56" t="n">
        <v>9503161311</v>
      </c>
      <c r="H33" s="60" t="inlineStr">
        <is>
          <t>Pune</t>
        </is>
      </c>
      <c r="I33" s="60" t="inlineStr">
        <is>
          <t>Maharashtra</t>
        </is>
      </c>
      <c r="J33" s="60" t="n">
        <v>30</v>
      </c>
      <c r="K33" s="60" t="n">
        <v>590</v>
      </c>
      <c r="L33" s="60" t="n">
        <v>590</v>
      </c>
      <c r="M33" s="60" t="inlineStr">
        <is>
          <t>Delivered</t>
        </is>
      </c>
      <c r="N33" s="66" t="n">
        <v>46099</v>
      </c>
      <c r="O33" s="65" t="inlineStr">
        <is>
          <t>no</t>
        </is>
      </c>
      <c r="P33" s="105" t="n">
        <v>10</v>
      </c>
      <c r="Q33" s="105" t="n">
        <v>5800</v>
      </c>
      <c r="R33" s="63" t="n"/>
      <c r="S33" s="60" t="n"/>
      <c r="T33" s="60" t="n"/>
      <c r="U33" s="64" t="n"/>
    </row>
    <row r="34" ht="41.4" customFormat="1" customHeight="1" s="58">
      <c r="A34" s="59" t="inlineStr">
        <is>
          <t>2025-26/070</t>
        </is>
      </c>
      <c r="B34" s="60" t="n">
        <v>33</v>
      </c>
      <c r="C34" s="66" t="n">
        <v>46098</v>
      </c>
      <c r="D34" s="56" t="inlineStr">
        <is>
          <t>NIKY PRECISION ENGINEERS PRIVATE LIMITED</t>
        </is>
      </c>
      <c r="E34" s="56" t="inlineStr">
        <is>
          <t xml:space="preserve"> PLOT NO 15, GALA NO 1, 3, 5, 7, PLOT NO 9, S NO 38/2/18, 16, NARHE, PUNE-411041</t>
        </is>
      </c>
      <c r="F34" s="56" t="inlineStr">
        <is>
          <t>Jeevan</t>
        </is>
      </c>
      <c r="G34" s="56" t="n">
        <v>8446006021</v>
      </c>
      <c r="H34" s="60" t="inlineStr">
        <is>
          <t>Pune</t>
        </is>
      </c>
      <c r="I34" s="60" t="inlineStr">
        <is>
          <t>Maharashtra</t>
        </is>
      </c>
      <c r="J34" s="60" t="n">
        <v>20</v>
      </c>
      <c r="K34" s="60" t="n">
        <v>328</v>
      </c>
      <c r="L34" s="60" t="n">
        <v>328</v>
      </c>
      <c r="M34" s="60" t="inlineStr">
        <is>
          <t>Delivered</t>
        </is>
      </c>
      <c r="N34" s="66" t="n">
        <v>46099</v>
      </c>
      <c r="O34" s="65" t="inlineStr">
        <is>
          <t>no</t>
        </is>
      </c>
      <c r="P34" s="105" t="n">
        <v>10</v>
      </c>
      <c r="Q34" s="105" t="n">
        <v>3280</v>
      </c>
      <c r="R34" s="63" t="n"/>
      <c r="S34" s="60" t="n"/>
      <c r="T34" s="60" t="n"/>
      <c r="U34" s="64" t="n"/>
    </row>
    <row r="35" ht="27.6" customFormat="1" customHeight="1" s="58">
      <c r="A35" s="59" t="inlineStr">
        <is>
          <t>2025-26/072</t>
        </is>
      </c>
      <c r="B35" s="60" t="n">
        <v>34</v>
      </c>
      <c r="C35" s="66" t="n">
        <v>46099</v>
      </c>
      <c r="D35" s="56" t="inlineStr">
        <is>
          <t>PREMIER SEALS INDIA PRIVATE LTD</t>
        </is>
      </c>
      <c r="E35" s="56" t="inlineStr">
        <is>
          <t>20/8, D-1 BLOCK, MIDC, CHINCHWAD, PUNE MAHARASHTRA 411019</t>
        </is>
      </c>
      <c r="F35" s="56" t="inlineStr">
        <is>
          <t xml:space="preserve">Mita </t>
        </is>
      </c>
      <c r="G35" s="56" t="n">
        <v>8956347535</v>
      </c>
      <c r="H35" s="60" t="inlineStr">
        <is>
          <t>Pune</t>
        </is>
      </c>
      <c r="I35" s="60" t="inlineStr">
        <is>
          <t>Maharashtra</t>
        </is>
      </c>
      <c r="J35" s="60" t="n">
        <v>31</v>
      </c>
      <c r="K35" s="60" t="n">
        <v>150</v>
      </c>
      <c r="L35" s="60" t="n">
        <v>138</v>
      </c>
      <c r="M35" s="60" t="inlineStr">
        <is>
          <t>Delivered</t>
        </is>
      </c>
      <c r="N35" s="66" t="n">
        <v>46102</v>
      </c>
      <c r="O35" s="65" t="inlineStr">
        <is>
          <t>no</t>
        </is>
      </c>
      <c r="P35" s="105" t="n">
        <v>10</v>
      </c>
      <c r="Q35" s="105" t="n">
        <v>1380</v>
      </c>
      <c r="R35" s="63" t="n"/>
      <c r="S35" s="60" t="n"/>
      <c r="T35" s="60" t="n"/>
      <c r="U35" s="64" t="n"/>
    </row>
    <row r="36" ht="14.4" customFormat="1" customHeight="1" s="58">
      <c r="A36" s="59" t="inlineStr">
        <is>
          <t>2025-26/073</t>
        </is>
      </c>
      <c r="B36" s="60" t="n">
        <v>35</v>
      </c>
      <c r="C36" s="66" t="n">
        <v>46099</v>
      </c>
      <c r="D36" s="56" t="inlineStr">
        <is>
          <t>AKAR AUTO INDUSTRIES LIMIT</t>
        </is>
      </c>
      <c r="E36" s="56" t="inlineStr">
        <is>
          <t>E 5 MIDC WALUJ, AURANGABAD</t>
        </is>
      </c>
      <c r="F36" s="56" t="inlineStr">
        <is>
          <t>Mushtaq</t>
        </is>
      </c>
      <c r="G36" s="56" t="n">
        <v>9890997721</v>
      </c>
      <c r="H36" s="60" t="inlineStr">
        <is>
          <t>Sambhaji nagar</t>
        </is>
      </c>
      <c r="I36" s="60" t="inlineStr">
        <is>
          <t>Maharashtra</t>
        </is>
      </c>
      <c r="J36" s="60" t="n">
        <v>119</v>
      </c>
      <c r="K36" s="60" t="n">
        <v>2500</v>
      </c>
      <c r="L36" s="60" t="n">
        <v>2500</v>
      </c>
      <c r="M36" s="60" t="inlineStr">
        <is>
          <t>Delivered</t>
        </is>
      </c>
      <c r="N36" s="66" t="n">
        <v>46100</v>
      </c>
      <c r="O36" s="65" t="inlineStr">
        <is>
          <t>no</t>
        </is>
      </c>
      <c r="P36" s="105" t="n">
        <v>10</v>
      </c>
      <c r="Q36" s="105" t="n">
        <v>9500</v>
      </c>
      <c r="R36" s="63" t="n"/>
      <c r="S36" s="60" t="inlineStr">
        <is>
          <t>Third Party</t>
        </is>
      </c>
      <c r="T36" s="60" t="n"/>
      <c r="U36" s="64" t="n">
        <v>10500</v>
      </c>
    </row>
    <row r="37" ht="27.6" customFormat="1" customHeight="1" s="58">
      <c r="A37" s="59" t="inlineStr">
        <is>
          <t>2025-26/074</t>
        </is>
      </c>
      <c r="B37" s="60" t="n">
        <v>36</v>
      </c>
      <c r="C37" s="66" t="n">
        <v>46099</v>
      </c>
      <c r="D37" s="56" t="inlineStr">
        <is>
          <t>Trimurti Enterprises</t>
        </is>
      </c>
      <c r="E37" s="56" t="inlineStr">
        <is>
          <t>D-143, Five Star, MIDC Shendra, Chatrapati Sambhaji Nagar</t>
        </is>
      </c>
      <c r="F37" s="56" t="inlineStr">
        <is>
          <t>RAVI SIR</t>
        </is>
      </c>
      <c r="G37" s="56" t="n">
        <v>9075094520</v>
      </c>
      <c r="H37" s="60" t="inlineStr">
        <is>
          <t>Sambhaji nagar</t>
        </is>
      </c>
      <c r="I37" s="60" t="inlineStr">
        <is>
          <t>Maharashtra</t>
        </is>
      </c>
      <c r="J37" s="60" t="n">
        <v>85</v>
      </c>
      <c r="K37" s="60" t="n">
        <v>1247</v>
      </c>
      <c r="L37" s="60" t="n">
        <v>1247</v>
      </c>
      <c r="M37" s="60" t="inlineStr">
        <is>
          <t>Delivered</t>
        </is>
      </c>
      <c r="N37" s="66" t="n">
        <v>46100</v>
      </c>
      <c r="O37" s="65" t="inlineStr">
        <is>
          <t>no</t>
        </is>
      </c>
      <c r="P37" s="105" t="n">
        <v>10</v>
      </c>
      <c r="Q37" s="105" t="n">
        <v>7500</v>
      </c>
      <c r="R37" s="63" t="n"/>
      <c r="S37" s="60" t="n"/>
      <c r="T37" s="60" t="n"/>
      <c r="U37" s="64" t="n"/>
    </row>
    <row r="38" ht="41.4" customFormat="1" customHeight="1" s="58">
      <c r="A38" s="59" t="inlineStr">
        <is>
          <t>2025-26/075</t>
        </is>
      </c>
      <c r="B38" s="60" t="n">
        <v>37</v>
      </c>
      <c r="C38" s="66" t="n">
        <v>46100</v>
      </c>
      <c r="D38" s="56" t="inlineStr">
        <is>
          <t>NIKY PRECISION(MULAY POLYMERS PVT. LTD.)</t>
        </is>
      </c>
      <c r="E38" s="56" t="inlineStr">
        <is>
          <t>Gat No 679/2/1 Plot No. 30/6, Chakan Alandi Road, Tal.-Khed Dist.-Pune-410501.</t>
        </is>
      </c>
      <c r="F38" s="56" t="inlineStr">
        <is>
          <t xml:space="preserve">Rajkumar </t>
        </is>
      </c>
      <c r="G38" s="56" t="n">
        <v>9156575795</v>
      </c>
      <c r="H38" s="60" t="inlineStr">
        <is>
          <t>Pune</t>
        </is>
      </c>
      <c r="I38" s="60" t="inlineStr">
        <is>
          <t>Maharashtra</t>
        </is>
      </c>
      <c r="J38" s="60" t="n">
        <v>10</v>
      </c>
      <c r="K38" s="60" t="n">
        <v>100</v>
      </c>
      <c r="L38" s="60" t="n">
        <v>100</v>
      </c>
      <c r="M38" s="60" t="inlineStr">
        <is>
          <t>Delivered</t>
        </is>
      </c>
      <c r="N38" s="66" t="n">
        <v>46102</v>
      </c>
      <c r="O38" s="65" t="n"/>
      <c r="P38" s="105" t="n">
        <v>10</v>
      </c>
      <c r="Q38" s="105" t="n">
        <v>1000</v>
      </c>
      <c r="R38" s="63" t="n"/>
      <c r="S38" s="60" t="n"/>
      <c r="T38" s="60" t="n"/>
      <c r="U38" s="64" t="n"/>
    </row>
    <row r="39" ht="27.6" customFormat="1" customHeight="1" s="58">
      <c r="A39" s="59" t="inlineStr">
        <is>
          <t>2025-26/076</t>
        </is>
      </c>
      <c r="B39" s="60" t="n">
        <v>38</v>
      </c>
      <c r="C39" s="66" t="n">
        <v>46100</v>
      </c>
      <c r="D39" s="56" t="inlineStr">
        <is>
          <t>ASTRA AUTOLITES</t>
        </is>
      </c>
      <c r="E39" s="56" t="inlineStr">
        <is>
          <t>GAT NO, 139B, ALANDI MARKAL ROAD, PUNE - 412105</t>
        </is>
      </c>
      <c r="F39" s="56" t="inlineStr">
        <is>
          <t>Flavia</t>
        </is>
      </c>
      <c r="G39" s="56" t="n">
        <v>9960525493</v>
      </c>
      <c r="H39" s="60" t="inlineStr">
        <is>
          <t>Pune</t>
        </is>
      </c>
      <c r="I39" s="60" t="inlineStr">
        <is>
          <t>Maharashtra</t>
        </is>
      </c>
      <c r="J39" s="60" t="n">
        <v>7</v>
      </c>
      <c r="K39" s="60" t="n">
        <v>70</v>
      </c>
      <c r="L39" s="60" t="n">
        <v>70</v>
      </c>
      <c r="M39" s="60" t="inlineStr">
        <is>
          <t>Delivered</t>
        </is>
      </c>
      <c r="N39" s="66" t="n">
        <v>46102</v>
      </c>
      <c r="O39" s="65" t="n"/>
      <c r="P39" s="105" t="n">
        <v>10</v>
      </c>
      <c r="Q39" s="105" t="n">
        <v>700</v>
      </c>
      <c r="R39" s="63" t="n"/>
      <c r="S39" s="60" t="n"/>
      <c r="T39" s="60" t="n"/>
      <c r="U39" s="64" t="n"/>
    </row>
    <row r="40" customFormat="1" s="58">
      <c r="A40" s="56" t="n"/>
      <c r="B40" s="60" t="n">
        <v>39</v>
      </c>
      <c r="C40" s="66" t="n">
        <v>46100</v>
      </c>
      <c r="D40" s="56" t="inlineStr">
        <is>
          <t>mrp lebels</t>
        </is>
      </c>
      <c r="E40" s="56" t="inlineStr">
        <is>
          <t>WAKAD</t>
        </is>
      </c>
      <c r="F40" s="56" t="n"/>
      <c r="G40" s="56" t="n"/>
      <c r="H40" s="60" t="n"/>
      <c r="I40" s="60" t="n"/>
      <c r="J40" s="60" t="n">
        <v>9</v>
      </c>
      <c r="K40" s="60" t="n">
        <v>188</v>
      </c>
      <c r="L40" s="60" t="n">
        <v>180</v>
      </c>
      <c r="M40" s="60" t="inlineStr">
        <is>
          <t>Delivered</t>
        </is>
      </c>
      <c r="N40" s="66" t="n">
        <v>46102</v>
      </c>
      <c r="O40" s="65" t="n"/>
      <c r="P40" s="105" t="n">
        <v>10</v>
      </c>
      <c r="Q40" s="105" t="n">
        <v>2070</v>
      </c>
      <c r="R40" s="63" t="n"/>
      <c r="S40" s="60" t="n"/>
      <c r="T40" s="60" t="n"/>
      <c r="U40" s="64" t="n"/>
    </row>
    <row r="41" ht="14.4" customFormat="1" customHeight="1" s="58">
      <c r="A41" s="59" t="inlineStr">
        <is>
          <t>2025-26/077</t>
        </is>
      </c>
      <c r="B41" s="60" t="n">
        <v>40</v>
      </c>
      <c r="C41" s="66" t="n">
        <v>46101</v>
      </c>
      <c r="D41" s="56" t="inlineStr">
        <is>
          <t>Lumax industries</t>
        </is>
      </c>
      <c r="E41" s="56" t="inlineStr">
        <is>
          <t>D2/43-44 MIDC INDL Area Chinchwad</t>
        </is>
      </c>
      <c r="F41" s="56" t="inlineStr">
        <is>
          <t>Sandeep</t>
        </is>
      </c>
      <c r="G41" s="56" t="n">
        <v>9657704906</v>
      </c>
      <c r="H41" s="60" t="inlineStr">
        <is>
          <t>Pune</t>
        </is>
      </c>
      <c r="I41" s="60" t="inlineStr">
        <is>
          <t>Maharashtra</t>
        </is>
      </c>
      <c r="J41" s="60" t="n">
        <v>4</v>
      </c>
      <c r="K41" s="60" t="n">
        <v>58</v>
      </c>
      <c r="L41" s="60" t="n">
        <v>58</v>
      </c>
      <c r="M41" s="60" t="inlineStr">
        <is>
          <t>Delivered</t>
        </is>
      </c>
      <c r="N41" s="66" t="n">
        <v>46102</v>
      </c>
      <c r="O41" s="65" t="n"/>
      <c r="P41" s="105" t="n">
        <v>10</v>
      </c>
      <c r="Q41" s="105" t="n">
        <v>580</v>
      </c>
      <c r="R41" s="63" t="n"/>
      <c r="S41" s="60" t="n"/>
      <c r="T41" s="60" t="n"/>
      <c r="U41" s="64" t="n"/>
    </row>
    <row r="42" ht="41.4" customFormat="1" customHeight="1" s="58">
      <c r="A42" s="59" t="inlineStr">
        <is>
          <t>2025-26/078</t>
        </is>
      </c>
      <c r="B42" s="60" t="n">
        <v>41</v>
      </c>
      <c r="C42" s="66" t="n">
        <v>46101</v>
      </c>
      <c r="D42" s="56" t="inlineStr">
        <is>
          <t>THANUSAR ENTERPRISES</t>
        </is>
      </c>
      <c r="E42" s="56" t="inlineStr">
        <is>
          <t>PLOT NO 4/50, ADHAR INDUSTRIAL PREMISES, SECTOR NO 10 MIDC, BHOSARI PUNE</t>
        </is>
      </c>
      <c r="F42" s="56" t="inlineStr">
        <is>
          <t>Vishnu/kiran</t>
        </is>
      </c>
      <c r="G42" s="54" t="inlineStr">
        <is>
          <t>9036230620 / 9003133891</t>
        </is>
      </c>
      <c r="H42" s="60" t="inlineStr">
        <is>
          <t>Pune</t>
        </is>
      </c>
      <c r="I42" s="60" t="inlineStr">
        <is>
          <t>Maharashtra</t>
        </is>
      </c>
      <c r="J42" s="60" t="n">
        <v>5</v>
      </c>
      <c r="K42" s="60" t="n">
        <v>148</v>
      </c>
      <c r="L42" s="60" t="n">
        <v>148</v>
      </c>
      <c r="M42" s="60" t="inlineStr">
        <is>
          <t>Delivered</t>
        </is>
      </c>
      <c r="N42" s="66" t="n">
        <v>46102</v>
      </c>
      <c r="O42" s="65" t="n"/>
      <c r="P42" s="105" t="n">
        <v>10</v>
      </c>
      <c r="Q42" s="105" t="n">
        <v>1320</v>
      </c>
      <c r="R42" s="63" t="n"/>
      <c r="S42" s="60" t="n"/>
      <c r="T42" s="60" t="n"/>
      <c r="U42" s="64" t="n"/>
    </row>
    <row r="43" ht="27.6" customFormat="1" customHeight="1" s="58">
      <c r="A43" s="59" t="inlineStr">
        <is>
          <t>2025-26/079</t>
        </is>
      </c>
      <c r="B43" s="60" t="n">
        <v>42</v>
      </c>
      <c r="C43" s="66" t="n">
        <v>46101</v>
      </c>
      <c r="D43" s="56" t="inlineStr">
        <is>
          <t>FERYEZ POLYMER PVT LTD</t>
        </is>
      </c>
      <c r="E43" s="56" t="inlineStr">
        <is>
          <t>SR.NO.172, CHICHWADGAON, PUNE 411033 MAHARASHTRA</t>
        </is>
      </c>
      <c r="F43" s="56" t="inlineStr">
        <is>
          <t xml:space="preserve">Sandip </t>
        </is>
      </c>
      <c r="G43" s="56" t="n">
        <v>9503161311</v>
      </c>
      <c r="H43" s="60" t="inlineStr">
        <is>
          <t>Pune</t>
        </is>
      </c>
      <c r="I43" s="60" t="inlineStr">
        <is>
          <t>Maharashtra</t>
        </is>
      </c>
      <c r="J43" s="60" t="n">
        <v>1</v>
      </c>
      <c r="K43" s="60" t="n">
        <v>37</v>
      </c>
      <c r="L43" s="60" t="n">
        <v>37</v>
      </c>
      <c r="M43" s="60" t="inlineStr">
        <is>
          <t>Delivered</t>
        </is>
      </c>
      <c r="N43" s="66" t="n">
        <v>46102</v>
      </c>
      <c r="O43" s="65" t="n"/>
      <c r="P43" s="105" t="n">
        <v>10</v>
      </c>
      <c r="Q43" s="105" t="n">
        <v>370</v>
      </c>
      <c r="R43" s="63" t="n"/>
      <c r="S43" s="60" t="n"/>
      <c r="T43" s="60" t="n"/>
      <c r="U43" s="64" t="n"/>
    </row>
    <row r="44" customFormat="1" s="58">
      <c r="A44" s="56" t="n"/>
      <c r="B44" s="60" t="n">
        <v>43</v>
      </c>
      <c r="C44" s="66" t="n">
        <v>46101</v>
      </c>
      <c r="D44" s="56" t="inlineStr">
        <is>
          <t>PEPAR BOX</t>
        </is>
      </c>
      <c r="E44" s="56" t="inlineStr">
        <is>
          <t>CITY</t>
        </is>
      </c>
      <c r="F44" s="56" t="n"/>
      <c r="G44" s="56" t="n"/>
      <c r="H44" s="60" t="n"/>
      <c r="I44" s="60" t="n"/>
      <c r="J44" s="60" t="n">
        <v>200</v>
      </c>
      <c r="K44" s="60" t="n">
        <v>200</v>
      </c>
      <c r="L44" s="60" t="n"/>
      <c r="M44" s="60" t="inlineStr">
        <is>
          <t>Delivered</t>
        </is>
      </c>
      <c r="N44" s="66" t="n">
        <v>46102</v>
      </c>
      <c r="O44" s="65" t="n"/>
      <c r="P44" s="105" t="n"/>
      <c r="Q44" s="105" t="n"/>
      <c r="R44" s="63" t="n"/>
      <c r="S44" s="60" t="n"/>
      <c r="T44" s="60" t="n"/>
      <c r="U44" s="64" t="n"/>
    </row>
    <row r="45" ht="27.6" customFormat="1" customHeight="1" s="58">
      <c r="A45" s="59" t="inlineStr">
        <is>
          <t>2025-26/080</t>
        </is>
      </c>
      <c r="B45" s="60" t="n">
        <v>44</v>
      </c>
      <c r="C45" s="66" t="n">
        <v>46101</v>
      </c>
      <c r="D45" s="56" t="inlineStr">
        <is>
          <t>PACOLINE INDUSTRIES PRIVATE LIMITED</t>
        </is>
      </c>
      <c r="E45" s="56" t="inlineStr">
        <is>
          <t>21 Hadapsar Indl Estate  Pune 411013</t>
        </is>
      </c>
      <c r="F45" s="56" t="inlineStr">
        <is>
          <t>SOURAV</t>
        </is>
      </c>
      <c r="G45" s="56" t="n">
        <v>9552519571</v>
      </c>
      <c r="H45" s="60" t="inlineStr">
        <is>
          <t>Pune</t>
        </is>
      </c>
      <c r="I45" s="60" t="inlineStr">
        <is>
          <t>Maharashtra</t>
        </is>
      </c>
      <c r="J45" s="60" t="n">
        <v>39</v>
      </c>
      <c r="K45" s="60" t="n">
        <v>585</v>
      </c>
      <c r="L45" s="60" t="n">
        <v>585</v>
      </c>
      <c r="M45" s="60" t="inlineStr">
        <is>
          <t>Delivered</t>
        </is>
      </c>
      <c r="N45" s="66" t="n">
        <v>46102</v>
      </c>
      <c r="O45" s="65" t="inlineStr">
        <is>
          <t>NO</t>
        </is>
      </c>
      <c r="P45" s="105" t="n"/>
      <c r="Q45" s="105" t="n">
        <v>8000</v>
      </c>
      <c r="R45" s="63" t="n"/>
      <c r="S45" s="60" t="inlineStr">
        <is>
          <t>Third Party</t>
        </is>
      </c>
      <c r="T45" s="60" t="n"/>
      <c r="U45" s="64" t="n">
        <v>5000</v>
      </c>
    </row>
    <row r="46" ht="41.4" customFormat="1" customHeight="1" s="58">
      <c r="A46" s="59" t="inlineStr">
        <is>
          <t>2025-26/081</t>
        </is>
      </c>
      <c r="B46" s="60" t="n">
        <v>45</v>
      </c>
      <c r="C46" s="66" t="n">
        <v>46101</v>
      </c>
      <c r="D46" s="56" t="inlineStr">
        <is>
          <t>STAR CIRCLIPS &amp; ENGINEERING LIMITED</t>
        </is>
      </c>
      <c r="E46" s="56" t="inlineStr">
        <is>
          <t>STAR CIRCLIPS &amp; ENGINEERING LIMITED B -24 HINGNA INDUSTRIAL ESTATE HINGA NAGPUR. 440016</t>
        </is>
      </c>
      <c r="F46" s="56" t="inlineStr">
        <is>
          <t>DILIP</t>
        </is>
      </c>
      <c r="G46" s="56" t="n">
        <v>9326179340</v>
      </c>
      <c r="H46" s="60" t="inlineStr">
        <is>
          <t>NAGPUR</t>
        </is>
      </c>
      <c r="I46" s="60" t="inlineStr">
        <is>
          <t>Maharashtra</t>
        </is>
      </c>
      <c r="J46" s="60" t="n">
        <v>1</v>
      </c>
      <c r="K46" s="60" t="n">
        <v>25</v>
      </c>
      <c r="L46" s="60" t="n">
        <v>25</v>
      </c>
      <c r="M46" s="60" t="inlineStr">
        <is>
          <t>Delivered</t>
        </is>
      </c>
      <c r="N46" s="66" t="n">
        <v>46105</v>
      </c>
      <c r="O46" s="65" t="n"/>
      <c r="P46" s="105" t="n"/>
      <c r="Q46" s="105" t="n">
        <v>750</v>
      </c>
      <c r="R46" s="63" t="n"/>
      <c r="S46" s="60" t="inlineStr">
        <is>
          <t>Third Party</t>
        </is>
      </c>
      <c r="T46" s="60" t="n"/>
      <c r="U46" s="64" t="n">
        <v>750</v>
      </c>
    </row>
    <row r="47" ht="27.6" customFormat="1" customHeight="1" s="58">
      <c r="A47" s="59" t="inlineStr">
        <is>
          <t>2025-26/082</t>
        </is>
      </c>
      <c r="B47" s="60" t="n">
        <v>46</v>
      </c>
      <c r="C47" s="66" t="n">
        <v>46104</v>
      </c>
      <c r="D47" s="56" t="inlineStr">
        <is>
          <t>Trimurti Enterprises</t>
        </is>
      </c>
      <c r="E47" s="56" t="inlineStr">
        <is>
          <t>D-143, Five Star, MIDC Shendra, Chatrapati Sambhaji Nagar</t>
        </is>
      </c>
      <c r="F47" s="56" t="inlineStr">
        <is>
          <t>RAVI SIR</t>
        </is>
      </c>
      <c r="G47" s="56" t="n">
        <v>9075094520</v>
      </c>
      <c r="H47" s="60" t="inlineStr">
        <is>
          <t>Sambhaji nagar</t>
        </is>
      </c>
      <c r="I47" s="60" t="inlineStr">
        <is>
          <t>Maharashtra</t>
        </is>
      </c>
      <c r="J47" s="60" t="n">
        <v>32</v>
      </c>
      <c r="K47" s="60" t="n">
        <v>600</v>
      </c>
      <c r="L47" s="60" t="n">
        <v>600</v>
      </c>
      <c r="M47" s="60" t="inlineStr">
        <is>
          <t>Delivered</t>
        </is>
      </c>
      <c r="N47" s="66" t="n">
        <v>46104</v>
      </c>
      <c r="O47" s="65" t="n"/>
      <c r="P47" s="105" t="n"/>
      <c r="Q47" s="105" t="n">
        <v>7000</v>
      </c>
      <c r="R47" s="63" t="n"/>
      <c r="S47" s="60" t="inlineStr">
        <is>
          <t>Third Party</t>
        </is>
      </c>
      <c r="T47" s="60" t="n"/>
      <c r="U47" s="64" t="n">
        <v>5500</v>
      </c>
    </row>
    <row r="48" ht="27.6" customFormat="1" customHeight="1" s="58">
      <c r="A48" s="59" t="inlineStr">
        <is>
          <t>2025-26/083</t>
        </is>
      </c>
      <c r="B48" s="60" t="n">
        <v>47</v>
      </c>
      <c r="C48" s="66" t="n">
        <v>46104</v>
      </c>
      <c r="D48" s="56" t="inlineStr">
        <is>
          <t>Shekhar Brothers</t>
        </is>
      </c>
      <c r="E48" s="56" t="inlineStr">
        <is>
          <t>Plot No 58, Sector 6, Faridabad, Harayana - 121006</t>
        </is>
      </c>
      <c r="F48" s="56" t="inlineStr">
        <is>
          <t>Rajiv</t>
        </is>
      </c>
      <c r="G48" s="56" t="n">
        <v>8882838488</v>
      </c>
      <c r="H48" s="60" t="inlineStr">
        <is>
          <t>Faridabad</t>
        </is>
      </c>
      <c r="I48" s="60" t="inlineStr">
        <is>
          <t>Harayana</t>
        </is>
      </c>
      <c r="J48" s="60" t="n">
        <v>259</v>
      </c>
      <c r="K48" s="60" t="n">
        <v>3646</v>
      </c>
      <c r="L48" s="60" t="n">
        <v>3646</v>
      </c>
      <c r="M48" s="60" t="n"/>
      <c r="N48" s="66" t="n"/>
      <c r="O48" s="65" t="n"/>
      <c r="P48" s="105" t="n"/>
      <c r="Q48" s="105" t="n">
        <v>40000</v>
      </c>
      <c r="R48" s="63" t="n"/>
      <c r="S48" s="60" t="inlineStr">
        <is>
          <t>Third Party</t>
        </is>
      </c>
      <c r="T48" s="60" t="n"/>
      <c r="U48" s="64" t="n">
        <v>35000</v>
      </c>
    </row>
    <row r="49" ht="27.6" customFormat="1" customHeight="1" s="58">
      <c r="A49" s="59" t="inlineStr">
        <is>
          <t>2025-26/084</t>
        </is>
      </c>
      <c r="B49" s="60" t="n">
        <v>48</v>
      </c>
      <c r="C49" s="66" t="n">
        <v>46105</v>
      </c>
      <c r="D49" s="56" t="inlineStr">
        <is>
          <t>FERYEZ POLYMER PVT LTD</t>
        </is>
      </c>
      <c r="E49" s="56" t="inlineStr">
        <is>
          <t>SR.NO.172, CHICHWADGAON, PUNE 411033 MAHARASHTRA</t>
        </is>
      </c>
      <c r="F49" s="56" t="inlineStr">
        <is>
          <t xml:space="preserve">Sandip </t>
        </is>
      </c>
      <c r="G49" s="56" t="n">
        <v>9503161311</v>
      </c>
      <c r="H49" s="60" t="inlineStr">
        <is>
          <t>Pune</t>
        </is>
      </c>
      <c r="I49" s="60" t="inlineStr">
        <is>
          <t>Maharashtra</t>
        </is>
      </c>
      <c r="J49" s="60" t="n">
        <v>48</v>
      </c>
      <c r="K49" s="60" t="n">
        <v>983</v>
      </c>
      <c r="L49" s="60" t="n">
        <v>983</v>
      </c>
      <c r="M49" s="60" t="inlineStr">
        <is>
          <t>Delivered</t>
        </is>
      </c>
      <c r="N49" s="66" t="n">
        <v>46106</v>
      </c>
      <c r="O49" s="65" t="n"/>
      <c r="P49" s="105" t="n">
        <v>10</v>
      </c>
      <c r="Q49" s="105" t="n">
        <v>9830</v>
      </c>
      <c r="R49" s="63" t="n"/>
      <c r="S49" s="60" t="n"/>
      <c r="T49" s="60" t="n"/>
      <c r="U49" s="64" t="n"/>
    </row>
    <row r="50" ht="41.4" customFormat="1" customHeight="1" s="58">
      <c r="A50" s="59" t="inlineStr">
        <is>
          <t>2025-26/085</t>
        </is>
      </c>
      <c r="B50" s="60" t="n">
        <v>49</v>
      </c>
      <c r="C50" s="66" t="n">
        <v>46105</v>
      </c>
      <c r="D50" s="56" t="inlineStr">
        <is>
          <t>NIKY PRECISION(MULAY POLYMERS PVT. LTD.)</t>
        </is>
      </c>
      <c r="E50" s="56" t="inlineStr">
        <is>
          <t>Gat No 679/2/1 Plot No. 30/6, Chakan Alandi Road, Tal.-Khed Dist.-Pune-410501.</t>
        </is>
      </c>
      <c r="F50" s="56" t="inlineStr">
        <is>
          <t xml:space="preserve">Rajkumar </t>
        </is>
      </c>
      <c r="G50" s="56" t="n">
        <v>9156575795</v>
      </c>
      <c r="H50" s="60" t="inlineStr">
        <is>
          <t>Pune</t>
        </is>
      </c>
      <c r="I50" s="60" t="inlineStr">
        <is>
          <t>Maharashtra</t>
        </is>
      </c>
      <c r="J50" s="60" t="n">
        <v>21</v>
      </c>
      <c r="K50" s="60" t="n">
        <v>189</v>
      </c>
      <c r="L50" s="60" t="n">
        <v>189</v>
      </c>
      <c r="M50" s="60" t="inlineStr">
        <is>
          <t>Delivered</t>
        </is>
      </c>
      <c r="N50" s="66" t="n">
        <v>46106</v>
      </c>
      <c r="O50" s="65" t="n"/>
      <c r="P50" s="105" t="n">
        <v>10</v>
      </c>
      <c r="Q50" s="105" t="n">
        <v>1890</v>
      </c>
      <c r="R50" s="63" t="n"/>
      <c r="S50" s="60" t="n"/>
      <c r="T50" s="60" t="n"/>
      <c r="U50" s="64" t="n"/>
    </row>
    <row r="51" ht="41.4" customFormat="1" customHeight="1" s="58">
      <c r="A51" s="59" t="inlineStr">
        <is>
          <t>2025-26/086</t>
        </is>
      </c>
      <c r="B51" s="60" t="n">
        <v>50</v>
      </c>
      <c r="C51" s="66" t="n">
        <v>46106</v>
      </c>
      <c r="D51" s="56" t="inlineStr">
        <is>
          <t>THANUSAR ENTERPRISES</t>
        </is>
      </c>
      <c r="E51" s="56" t="inlineStr">
        <is>
          <t>PLOT NO 4/50, ADHAR INDUSTRIAL PREMISES, SECTOR NO 10 MIDC, BHOSARI PUNE</t>
        </is>
      </c>
      <c r="F51" s="56" t="inlineStr">
        <is>
          <t>Vishnu/kiran</t>
        </is>
      </c>
      <c r="G51" s="54" t="inlineStr">
        <is>
          <t>9036230620 / 9003133891</t>
        </is>
      </c>
      <c r="H51" s="60" t="inlineStr">
        <is>
          <t>Pune</t>
        </is>
      </c>
      <c r="I51" s="60" t="inlineStr">
        <is>
          <t>Maharashtra</t>
        </is>
      </c>
      <c r="J51" s="60" t="n">
        <v>7</v>
      </c>
      <c r="K51" s="60" t="n">
        <v>196</v>
      </c>
      <c r="L51" s="60" t="n">
        <v>196</v>
      </c>
      <c r="M51" s="60" t="inlineStr">
        <is>
          <t>Delivered</t>
        </is>
      </c>
      <c r="N51" s="66" t="n">
        <v>46107</v>
      </c>
      <c r="O51" s="65" t="n"/>
      <c r="P51" s="105" t="n">
        <v>10</v>
      </c>
      <c r="Q51" s="105" t="n">
        <v>1960</v>
      </c>
      <c r="R51" s="63" t="n"/>
      <c r="S51" s="60" t="n"/>
      <c r="T51" s="60" t="n"/>
      <c r="U51" s="64" t="n"/>
    </row>
    <row r="52" ht="27.6" customFormat="1" customHeight="1" s="58">
      <c r="A52" s="59" t="inlineStr">
        <is>
          <t>2025-26/087</t>
        </is>
      </c>
      <c r="B52" s="60" t="n">
        <v>51</v>
      </c>
      <c r="C52" s="66" t="n">
        <v>46105</v>
      </c>
      <c r="D52" s="56" t="inlineStr">
        <is>
          <t>PREMIER SEALS INDIA PRIVATE LTD</t>
        </is>
      </c>
      <c r="E52" s="56" t="inlineStr">
        <is>
          <t>20/8, D-1 BLOCK, MIDC, CHINCHWAD, PUNE MAHARASHTRA 411019</t>
        </is>
      </c>
      <c r="F52" s="56" t="inlineStr">
        <is>
          <t xml:space="preserve">Mita </t>
        </is>
      </c>
      <c r="G52" s="56" t="n">
        <v>8956347535</v>
      </c>
      <c r="H52" s="60" t="inlineStr">
        <is>
          <t>Pune</t>
        </is>
      </c>
      <c r="I52" s="60" t="inlineStr">
        <is>
          <t>Maharashtra</t>
        </is>
      </c>
      <c r="J52" s="60" t="n">
        <v>60</v>
      </c>
      <c r="K52" s="60" t="n">
        <v>248</v>
      </c>
      <c r="L52" s="60" t="n">
        <v>248</v>
      </c>
      <c r="M52" s="60" t="inlineStr">
        <is>
          <t>Delivered</t>
        </is>
      </c>
      <c r="N52" s="66" t="n">
        <v>46106</v>
      </c>
      <c r="O52" s="65" t="n"/>
      <c r="P52" s="105" t="n">
        <v>10</v>
      </c>
      <c r="Q52" s="105" t="n">
        <v>2480</v>
      </c>
      <c r="R52" s="63" t="n"/>
      <c r="S52" s="60" t="n"/>
      <c r="T52" s="60" t="n"/>
      <c r="U52" s="64" t="n"/>
    </row>
    <row r="53" ht="14.4" customFormat="1" customHeight="1" s="58">
      <c r="A53" s="59" t="inlineStr">
        <is>
          <t>2025-26/088</t>
        </is>
      </c>
      <c r="B53" s="60" t="n">
        <v>52</v>
      </c>
      <c r="C53" s="66" t="n">
        <v>46108</v>
      </c>
      <c r="D53" s="56" t="inlineStr">
        <is>
          <t>Lumax industries</t>
        </is>
      </c>
      <c r="E53" s="56" t="inlineStr">
        <is>
          <t>D2/43-44 MIDC INDL Area Chinchwad</t>
        </is>
      </c>
      <c r="F53" s="56" t="inlineStr">
        <is>
          <t>Sandeep</t>
        </is>
      </c>
      <c r="G53" s="56" t="n">
        <v>9657704906</v>
      </c>
      <c r="H53" s="60" t="inlineStr">
        <is>
          <t>Pune</t>
        </is>
      </c>
      <c r="I53" s="60" t="inlineStr">
        <is>
          <t>Maharashtra</t>
        </is>
      </c>
      <c r="J53" s="60" t="n">
        <v>2</v>
      </c>
      <c r="K53" s="60" t="n">
        <v>35</v>
      </c>
      <c r="L53" s="60" t="n">
        <v>35</v>
      </c>
      <c r="M53" s="60" t="inlineStr">
        <is>
          <t>Delivered</t>
        </is>
      </c>
      <c r="N53" s="66" t="n">
        <v>46109</v>
      </c>
      <c r="O53" s="65" t="n"/>
      <c r="P53" s="105" t="n">
        <v>10</v>
      </c>
      <c r="Q53" s="105" t="n">
        <v>350</v>
      </c>
      <c r="R53" s="63" t="n"/>
      <c r="S53" s="60" t="n"/>
      <c r="T53" s="60" t="n"/>
      <c r="U53" s="64" t="n"/>
    </row>
    <row r="54" ht="41.4" customFormat="1" customHeight="1" s="58">
      <c r="A54" s="59" t="inlineStr">
        <is>
          <t>2025-26/089</t>
        </is>
      </c>
      <c r="B54" s="60" t="n">
        <v>53</v>
      </c>
      <c r="C54" s="66" t="n">
        <v>46107</v>
      </c>
      <c r="D54" s="56" t="inlineStr">
        <is>
          <t>NIKY PRECISION(MULAY POLYMERS PVT. LTD.)</t>
        </is>
      </c>
      <c r="E54" s="56" t="inlineStr">
        <is>
          <t>Gat No 679/2/1 Plot No. 30/6, Chakan Alandi Road, Tal.-Khed Dist.-Pune-410501.</t>
        </is>
      </c>
      <c r="F54" s="56" t="inlineStr">
        <is>
          <t xml:space="preserve">Rajkumar </t>
        </is>
      </c>
      <c r="G54" s="56" t="n">
        <v>9156575795</v>
      </c>
      <c r="H54" s="60" t="inlineStr">
        <is>
          <t>Pune</t>
        </is>
      </c>
      <c r="I54" s="60" t="inlineStr">
        <is>
          <t>Maharashtra</t>
        </is>
      </c>
      <c r="J54" s="60" t="n">
        <v>14</v>
      </c>
      <c r="K54" s="60" t="n">
        <v>122</v>
      </c>
      <c r="L54" s="60" t="n">
        <v>122</v>
      </c>
      <c r="M54" s="60" t="inlineStr">
        <is>
          <t>Delivered</t>
        </is>
      </c>
      <c r="N54" s="66" t="n"/>
      <c r="O54" s="65" t="n"/>
      <c r="P54" s="105" t="n"/>
      <c r="Q54" s="105" t="n">
        <v>4000</v>
      </c>
      <c r="R54" s="63" t="n"/>
      <c r="S54" s="60" t="n"/>
      <c r="T54" s="60" t="n"/>
      <c r="U54" s="64" t="n"/>
    </row>
    <row r="55" ht="14.4" customFormat="1" customHeight="1" s="58">
      <c r="A55" s="59" t="n"/>
      <c r="B55" s="60" t="n">
        <v>54</v>
      </c>
      <c r="C55" s="66" t="n">
        <v>46107</v>
      </c>
      <c r="D55" s="56" t="inlineStr">
        <is>
          <t>kulkarni sir optloc</t>
        </is>
      </c>
      <c r="E55" s="56" t="inlineStr">
        <is>
          <t>karad</t>
        </is>
      </c>
      <c r="F55" s="56" t="inlineStr">
        <is>
          <t>door</t>
        </is>
      </c>
      <c r="G55" s="54" t="inlineStr">
        <is>
          <t>door</t>
        </is>
      </c>
      <c r="H55" s="60" t="inlineStr">
        <is>
          <t>door</t>
        </is>
      </c>
      <c r="I55" s="60" t="inlineStr">
        <is>
          <t>door</t>
        </is>
      </c>
      <c r="J55" s="60" t="n">
        <v>1</v>
      </c>
      <c r="K55" s="60" t="n">
        <v>150</v>
      </c>
      <c r="L55" s="60" t="n">
        <v>150</v>
      </c>
      <c r="M55" s="60" t="inlineStr">
        <is>
          <t>Delivered</t>
        </is>
      </c>
      <c r="N55" s="66" t="n">
        <v>46109</v>
      </c>
      <c r="O55" s="65" t="n"/>
      <c r="P55" s="105" t="n"/>
      <c r="Q55" s="105" t="n">
        <v>4000</v>
      </c>
      <c r="R55" s="63" t="n"/>
      <c r="S55" s="60" t="inlineStr">
        <is>
          <t>cargolong</t>
        </is>
      </c>
      <c r="T55" s="60" t="n"/>
      <c r="U55" s="64" t="n">
        <v>2500</v>
      </c>
    </row>
    <row r="56" ht="41.4" customFormat="1" customHeight="1" s="58">
      <c r="A56" s="59" t="inlineStr">
        <is>
          <t>2025-26/090</t>
        </is>
      </c>
      <c r="B56" s="60" t="n">
        <v>55</v>
      </c>
      <c r="C56" s="66" t="n">
        <v>46108</v>
      </c>
      <c r="D56" s="56" t="inlineStr">
        <is>
          <t>NIKY PRECISION ENGINEERS PRIVATE LIMITED</t>
        </is>
      </c>
      <c r="E56" s="56" t="inlineStr">
        <is>
          <t xml:space="preserve"> PLOT NO 15, GALA NO 1, 3, 5, 7, PLOT NO 9, S NO 38/2/18, 16, NARHE, PUNE-411041</t>
        </is>
      </c>
      <c r="F56" s="56" t="inlineStr">
        <is>
          <t>Jeevan</t>
        </is>
      </c>
      <c r="G56" s="56" t="n">
        <v>8446006021</v>
      </c>
      <c r="H56" s="60" t="inlineStr">
        <is>
          <t>Pune</t>
        </is>
      </c>
      <c r="I56" s="60" t="inlineStr">
        <is>
          <t>Maharashtra</t>
        </is>
      </c>
      <c r="J56" s="60" t="n">
        <v>28</v>
      </c>
      <c r="K56" s="60" t="n">
        <v>420</v>
      </c>
      <c r="L56" s="60" t="n"/>
      <c r="M56" s="60" t="inlineStr">
        <is>
          <t>Delivered</t>
        </is>
      </c>
      <c r="N56" s="66" t="n">
        <v>46109</v>
      </c>
      <c r="O56" s="65" t="n"/>
      <c r="P56" s="105" t="n">
        <v>10</v>
      </c>
      <c r="Q56" s="105" t="n">
        <v>4200</v>
      </c>
      <c r="R56" s="63" t="n"/>
      <c r="S56" s="60" t="n"/>
      <c r="T56" s="60" t="n"/>
      <c r="U56" s="64" t="n"/>
    </row>
    <row r="57" ht="41.4" customFormat="1" customHeight="1" s="58">
      <c r="A57" s="59" t="n">
        <v>260100044</v>
      </c>
      <c r="B57" s="60" t="n">
        <v>56</v>
      </c>
      <c r="C57" s="66" t="n">
        <v>46111</v>
      </c>
      <c r="D57" s="56" t="inlineStr">
        <is>
          <t>NIKY PRECISION ENGINEERS PRIVATE LIMITED</t>
        </is>
      </c>
      <c r="E57" s="56" t="inlineStr">
        <is>
          <t xml:space="preserve"> PLOT NO 15, GALA NO 1, 3, 5, 7, PLOT NO 9, S NO 38/2/18, 16, NARHE, PUNE-411041</t>
        </is>
      </c>
      <c r="F57" s="56" t="inlineStr">
        <is>
          <t>Jeevan</t>
        </is>
      </c>
      <c r="G57" s="56" t="n">
        <v>8446006021</v>
      </c>
      <c r="H57" s="60" t="inlineStr">
        <is>
          <t>Pune</t>
        </is>
      </c>
      <c r="I57" s="60" t="inlineStr">
        <is>
          <t>Maharashtra</t>
        </is>
      </c>
      <c r="J57" s="60" t="n">
        <v>10</v>
      </c>
      <c r="K57" s="60" t="n">
        <v>168</v>
      </c>
      <c r="L57" s="60" t="n">
        <v>168</v>
      </c>
      <c r="M57" s="60" t="inlineStr">
        <is>
          <t>Delivered</t>
        </is>
      </c>
      <c r="N57" s="66" t="n">
        <v>46113</v>
      </c>
      <c r="O57" s="65" t="n"/>
      <c r="P57" s="105" t="n">
        <v>10</v>
      </c>
      <c r="Q57" s="105" t="n">
        <v>1680</v>
      </c>
      <c r="R57" s="63" t="n"/>
      <c r="S57" s="60" t="n"/>
      <c r="T57" s="60" t="n"/>
      <c r="U57" s="64" t="n"/>
    </row>
    <row r="58" ht="27.6" customFormat="1" customHeight="1" s="58">
      <c r="A58" s="59" t="inlineStr">
        <is>
          <t>2025-26/091</t>
        </is>
      </c>
      <c r="B58" s="60" t="n">
        <v>57</v>
      </c>
      <c r="C58" s="66" t="n">
        <v>46112</v>
      </c>
      <c r="D58" s="56" t="inlineStr">
        <is>
          <t>PREMIER SEALS INDIA PRIVATE LTD</t>
        </is>
      </c>
      <c r="E58" s="56" t="inlineStr">
        <is>
          <t>20/8, D-1 BLOCK, MIDC, CHINCHWAD, PUNE MAHARASHTRA 411019</t>
        </is>
      </c>
      <c r="F58" s="56" t="inlineStr">
        <is>
          <t xml:space="preserve">Mita </t>
        </is>
      </c>
      <c r="G58" s="56" t="n">
        <v>8956347535</v>
      </c>
      <c r="H58" s="60" t="inlineStr">
        <is>
          <t>Pune</t>
        </is>
      </c>
      <c r="I58" s="60" t="inlineStr">
        <is>
          <t>Maharashtra</t>
        </is>
      </c>
      <c r="J58" s="60" t="n">
        <v>31</v>
      </c>
      <c r="K58" s="60" t="n">
        <v>302</v>
      </c>
      <c r="L58" s="60" t="n">
        <v>302</v>
      </c>
      <c r="M58" s="60" t="inlineStr">
        <is>
          <t>Delivered</t>
        </is>
      </c>
      <c r="N58" s="66" t="n">
        <v>46113</v>
      </c>
      <c r="O58" s="65" t="n"/>
      <c r="P58" s="105" t="n">
        <v>10</v>
      </c>
      <c r="Q58" s="105" t="n">
        <v>3020</v>
      </c>
      <c r="R58" s="63" t="n"/>
      <c r="S58" s="60" t="n"/>
      <c r="T58" s="60" t="n"/>
      <c r="U58" s="64" t="n"/>
    </row>
    <row r="59" ht="41.4" customFormat="1" customHeight="1" s="58">
      <c r="A59" s="59" t="n">
        <v>260100045</v>
      </c>
      <c r="B59" s="60" t="n">
        <v>58</v>
      </c>
      <c r="C59" s="66" t="n">
        <v>46112</v>
      </c>
      <c r="D59" s="56" t="inlineStr">
        <is>
          <t>THANUSAR ENTERPRISES</t>
        </is>
      </c>
      <c r="E59" s="56" t="inlineStr">
        <is>
          <t>PLOT NO 4/50, ADHAR INDUSTRIAL PREMISES, SECTOR NO 10 MIDC, BHOSARI PUNE</t>
        </is>
      </c>
      <c r="F59" s="56" t="inlineStr">
        <is>
          <t>Vishnu/kiran</t>
        </is>
      </c>
      <c r="G59" s="54" t="inlineStr">
        <is>
          <t>9036230620 / 9003133891</t>
        </is>
      </c>
      <c r="H59" s="60" t="inlineStr">
        <is>
          <t>Pune</t>
        </is>
      </c>
      <c r="I59" s="60" t="inlineStr">
        <is>
          <t>Maharashtra</t>
        </is>
      </c>
      <c r="J59" s="60" t="n">
        <v>4</v>
      </c>
      <c r="K59" s="60" t="n">
        <v>88</v>
      </c>
      <c r="L59" s="60" t="n">
        <v>88</v>
      </c>
      <c r="M59" s="60" t="inlineStr">
        <is>
          <t>Delivered</t>
        </is>
      </c>
      <c r="N59" s="66" t="n">
        <v>46113</v>
      </c>
      <c r="O59" s="65" t="n"/>
      <c r="P59" s="105" t="n">
        <v>10</v>
      </c>
      <c r="Q59" s="105" t="n">
        <v>880</v>
      </c>
      <c r="R59" s="63" t="n"/>
      <c r="S59" s="60" t="n"/>
      <c r="T59" s="60" t="n"/>
      <c r="U59" s="64" t="n"/>
    </row>
    <row r="60" ht="27.6" customFormat="1" customHeight="1" s="58">
      <c r="A60" s="59" t="n">
        <v>260100046</v>
      </c>
      <c r="B60" s="60" t="n">
        <v>59</v>
      </c>
      <c r="C60" s="66" t="n">
        <v>46112</v>
      </c>
      <c r="D60" s="56" t="inlineStr">
        <is>
          <t>FERYEZ POLYMER PVT LTD</t>
        </is>
      </c>
      <c r="E60" s="56" t="inlineStr">
        <is>
          <t>SR.NO.172, CHICHWADGAON, PUNE 411033 MAHARASHTRA</t>
        </is>
      </c>
      <c r="F60" s="56" t="inlineStr">
        <is>
          <t xml:space="preserve">Sandip </t>
        </is>
      </c>
      <c r="G60" s="56" t="n">
        <v>9503161311</v>
      </c>
      <c r="H60" s="60" t="inlineStr">
        <is>
          <t>Pune</t>
        </is>
      </c>
      <c r="I60" s="60" t="inlineStr">
        <is>
          <t>Maharashtra</t>
        </is>
      </c>
      <c r="J60" s="60" t="n">
        <v>7</v>
      </c>
      <c r="K60" s="60" t="n">
        <v>200</v>
      </c>
      <c r="L60" s="60" t="n">
        <v>144</v>
      </c>
      <c r="M60" s="60" t="inlineStr">
        <is>
          <t>Delivered</t>
        </is>
      </c>
      <c r="N60" s="66" t="n">
        <v>46113</v>
      </c>
      <c r="O60" s="65" t="n"/>
      <c r="P60" s="105" t="n">
        <v>10</v>
      </c>
      <c r="Q60" s="105" t="n">
        <v>1440</v>
      </c>
      <c r="R60" s="63" t="n"/>
      <c r="S60" s="60" t="n"/>
      <c r="T60" s="60" t="n"/>
      <c r="U60" s="64" t="n"/>
    </row>
    <row r="61" ht="14.4" customFormat="1" customHeight="1" s="58">
      <c r="A61" s="59" t="n"/>
      <c r="B61" s="60" t="n"/>
      <c r="C61" s="66" t="n"/>
      <c r="D61" s="56" t="n"/>
      <c r="E61" s="56" t="n"/>
      <c r="F61" s="56" t="n"/>
      <c r="G61" s="56" t="n"/>
      <c r="H61" s="60" t="n"/>
      <c r="I61" s="60" t="n"/>
      <c r="J61" s="60" t="n"/>
      <c r="K61" s="60" t="n"/>
      <c r="L61" s="60" t="n"/>
      <c r="M61" s="60" t="n"/>
      <c r="N61" s="66" t="n"/>
      <c r="O61" s="65" t="n"/>
      <c r="P61" s="105" t="n"/>
      <c r="Q61" s="105" t="n"/>
      <c r="R61" s="63" t="n"/>
      <c r="S61" s="60" t="n"/>
      <c r="T61" s="60" t="n"/>
      <c r="U61" s="64" t="n"/>
    </row>
    <row r="62" ht="14.4" customFormat="1" customHeight="1" s="58">
      <c r="A62" s="59" t="n"/>
      <c r="B62" s="60" t="n"/>
      <c r="C62" s="66" t="n"/>
      <c r="D62" s="56" t="n"/>
      <c r="E62" s="56" t="n"/>
      <c r="F62" s="56" t="n"/>
      <c r="G62" s="56" t="n"/>
      <c r="H62" s="60" t="n"/>
      <c r="I62" s="60" t="n"/>
      <c r="J62" s="60" t="n"/>
      <c r="K62" s="60" t="n"/>
      <c r="L62" s="60" t="n"/>
      <c r="M62" s="60" t="n"/>
      <c r="N62" s="66" t="n"/>
      <c r="O62" s="65" t="n"/>
      <c r="P62" s="105" t="n"/>
      <c r="Q62" s="105" t="n"/>
      <c r="R62" s="63" t="n"/>
      <c r="S62" s="60" t="n"/>
      <c r="T62" s="60" t="n"/>
      <c r="U62" s="64" t="n"/>
    </row>
    <row r="63" customFormat="1" s="58">
      <c r="A63" s="56" t="n"/>
      <c r="B63" s="60" t="n"/>
      <c r="C63" s="66" t="n"/>
      <c r="D63" s="56" t="n"/>
      <c r="E63" s="56" t="n"/>
      <c r="F63" s="56" t="n"/>
      <c r="G63" s="56" t="n"/>
      <c r="H63" s="60" t="n"/>
      <c r="I63" s="60" t="n"/>
      <c r="J63" s="60" t="n"/>
      <c r="K63" s="60" t="n"/>
      <c r="L63" s="60" t="n"/>
      <c r="M63" s="60" t="n"/>
      <c r="N63" s="66" t="n"/>
      <c r="O63" s="65" t="n"/>
      <c r="P63" s="105" t="n"/>
      <c r="Q63" s="105" t="n"/>
      <c r="R63" s="63" t="n"/>
      <c r="S63" s="60" t="n"/>
      <c r="T63" s="60" t="n"/>
      <c r="U63" s="64" t="n"/>
    </row>
    <row r="64" customFormat="1" s="58">
      <c r="A64" s="56" t="n"/>
      <c r="B64" s="60" t="n"/>
      <c r="C64" s="67" t="n"/>
      <c r="D64" s="68" t="n"/>
      <c r="E64" s="68" t="n"/>
      <c r="F64" s="68" t="n"/>
      <c r="G64" s="68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9" t="n"/>
      <c r="Q64" s="69" t="n"/>
      <c r="R64" s="63" t="n"/>
      <c r="S64" s="60" t="n"/>
      <c r="T64" s="60" t="n"/>
      <c r="U64" s="64" t="n"/>
    </row>
    <row r="65" customFormat="1" s="58">
      <c r="A65" s="63" t="n"/>
      <c r="B65" s="63" t="n"/>
      <c r="C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>
        <f>SUM(Q2:Q64)</f>
        <v/>
      </c>
      <c r="R65" s="63" t="n"/>
      <c r="S65" s="63" t="n"/>
      <c r="T65" s="63" t="n"/>
      <c r="U65" s="63">
        <f>SUM(U2:U64)</f>
        <v/>
      </c>
    </row>
    <row r="66">
      <c r="A66" s="58" t="n"/>
      <c r="T66" s="60" t="inlineStr">
        <is>
          <t>Vehicle Rent</t>
        </is>
      </c>
      <c r="U66" s="64" t="n">
        <v>35000</v>
      </c>
    </row>
    <row r="67" customFormat="1" s="58">
      <c r="B67" s="63" t="n"/>
      <c r="C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0" t="inlineStr">
        <is>
          <t>CNG - Wk 1</t>
        </is>
      </c>
      <c r="U67" s="60" t="n">
        <v>9143</v>
      </c>
    </row>
    <row r="68" customFormat="1" s="58">
      <c r="B68" s="63" t="n"/>
      <c r="C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0" t="inlineStr">
        <is>
          <t>CNG - Wk 2</t>
        </is>
      </c>
      <c r="U68" s="60" t="n">
        <v>9277</v>
      </c>
    </row>
    <row r="69" customFormat="1" s="58">
      <c r="B69" s="63" t="n"/>
      <c r="C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0" t="inlineStr">
        <is>
          <t>CNG - Wk 3</t>
        </is>
      </c>
      <c r="U69" s="60" t="n">
        <v>7845</v>
      </c>
    </row>
    <row r="70" customFormat="1" s="58">
      <c r="B70" s="63" t="n"/>
      <c r="C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0" t="inlineStr">
        <is>
          <t>CNG - Wk 4</t>
        </is>
      </c>
      <c r="U70" s="58" t="n">
        <v>7054</v>
      </c>
    </row>
    <row r="71" customFormat="1" s="58">
      <c r="B71" s="63" t="n"/>
      <c r="C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70" t="n"/>
      <c r="U71" s="60" t="n"/>
    </row>
    <row r="72" customFormat="1" s="58">
      <c r="A72" s="63" t="n"/>
      <c r="B72" s="63" t="n"/>
      <c r="C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70" t="inlineStr">
        <is>
          <t>Total Expense</t>
        </is>
      </c>
      <c r="U72" s="63">
        <f>SUM(U65:U71)</f>
        <v/>
      </c>
    </row>
    <row r="73">
      <c r="A73" s="58" t="n"/>
      <c r="T73" s="70" t="n"/>
      <c r="U73" s="71" t="n"/>
    </row>
    <row r="74" customFormat="1" s="58">
      <c r="A74" s="63" t="n"/>
      <c r="B74" s="63" t="n"/>
      <c r="C74" s="63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70" t="inlineStr">
        <is>
          <t>Total Profit</t>
        </is>
      </c>
      <c r="U74" s="63">
        <f>Q65-U72</f>
        <v/>
      </c>
    </row>
    <row r="75">
      <c r="T75" s="70" t="inlineStr">
        <is>
          <t>Total Profit</t>
        </is>
      </c>
      <c r="U75" s="63">
        <f>Q66-U73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3"/>
  <sheetViews>
    <sheetView topLeftCell="E46" zoomScale="85" zoomScaleNormal="85" workbookViewId="0">
      <selection activeCell="Q36" sqref="Q36:Q43"/>
    </sheetView>
  </sheetViews>
  <sheetFormatPr baseColWidth="8" defaultColWidth="8.88671875" defaultRowHeight="13.8"/>
  <cols>
    <col width="11.5546875" bestFit="1" customWidth="1" style="63" min="1" max="1"/>
    <col width="5.33203125" customWidth="1" style="63" min="2" max="2"/>
    <col width="12.33203125" customWidth="1" style="63" min="3" max="3"/>
    <col width="25.44140625" customWidth="1" style="58" min="4" max="4"/>
    <col width="33.109375" customWidth="1" style="58" min="5" max="5"/>
    <col width="14" customWidth="1" style="58" min="6" max="6"/>
    <col width="12.33203125" customWidth="1" style="58" min="7" max="7"/>
    <col width="11.6640625" customWidth="1" style="63" min="8" max="8"/>
    <col width="12.33203125" customWidth="1" style="63" min="9" max="9"/>
    <col width="9" customWidth="1" style="63" min="10" max="10"/>
    <col width="7.88671875" customWidth="1" style="63" min="11" max="11"/>
    <col width="9" customWidth="1" style="63" min="12" max="12"/>
    <col width="10.44140625" bestFit="1" customWidth="1" style="63" min="13" max="13"/>
    <col width="10.33203125" customWidth="1" style="63" min="14" max="14"/>
    <col width="8.6640625" customWidth="1" style="63" min="15" max="15"/>
    <col width="9" customWidth="1" style="63" min="16" max="16"/>
    <col width="11.33203125" bestFit="1" customWidth="1" style="63" min="17" max="17"/>
    <col width="1.88671875" customWidth="1" style="63" min="18" max="18"/>
    <col width="12" bestFit="1" customWidth="1" style="63" min="19" max="19"/>
    <col width="13.33203125" customWidth="1" style="63" min="20" max="20"/>
    <col width="12.44140625" bestFit="1" customWidth="1" style="63" min="21" max="21"/>
    <col width="20.6640625" customWidth="1" style="58" min="22" max="22"/>
    <col width="8.88671875" customWidth="1" style="63" min="23" max="23"/>
    <col width="8.88671875" customWidth="1" style="63" min="24" max="16384"/>
  </cols>
  <sheetData>
    <row r="1" ht="41.4" customFormat="1" customHeight="1" s="58">
      <c r="A1" s="56" t="inlineStr">
        <is>
          <t>LR NUMBER</t>
        </is>
      </c>
      <c r="B1" s="57" t="inlineStr">
        <is>
          <t>#</t>
        </is>
      </c>
      <c r="C1" s="57" t="inlineStr">
        <is>
          <t>Pickup Request Date</t>
        </is>
      </c>
      <c r="D1" s="57" t="inlineStr">
        <is>
          <t>Name</t>
        </is>
      </c>
      <c r="E1" s="57" t="inlineStr">
        <is>
          <t>Address</t>
        </is>
      </c>
      <c r="F1" s="57" t="inlineStr">
        <is>
          <t>Contact Person</t>
        </is>
      </c>
      <c r="G1" s="57" t="inlineStr">
        <is>
          <t>Contact Number</t>
        </is>
      </c>
      <c r="H1" s="57" t="inlineStr">
        <is>
          <t>City</t>
        </is>
      </c>
      <c r="I1" s="57" t="inlineStr">
        <is>
          <t>State</t>
        </is>
      </c>
      <c r="J1" s="57" t="inlineStr">
        <is>
          <t>No Of Boxes</t>
        </is>
      </c>
      <c r="K1" s="57" t="inlineStr">
        <is>
          <t>Weight as per EcoFleet</t>
        </is>
      </c>
      <c r="L1" s="57" t="inlineStr">
        <is>
          <t>Weight as per Optlog</t>
        </is>
      </c>
      <c r="M1" s="57" t="inlineStr">
        <is>
          <t>Status</t>
        </is>
      </c>
      <c r="N1" s="57" t="inlineStr">
        <is>
          <t xml:space="preserve">Delivered on </t>
        </is>
      </c>
      <c r="O1" s="57" t="inlineStr">
        <is>
          <t>TAT</t>
        </is>
      </c>
      <c r="P1" s="57" t="inlineStr">
        <is>
          <t>Rate</t>
        </is>
      </c>
      <c r="Q1" s="57" t="inlineStr">
        <is>
          <t>Amount</t>
        </is>
      </c>
      <c r="S1" s="57" t="inlineStr">
        <is>
          <t>Vendor</t>
        </is>
      </c>
      <c r="T1" s="57" t="inlineStr">
        <is>
          <t>Vendor Rate</t>
        </is>
      </c>
      <c r="U1" s="57" t="inlineStr">
        <is>
          <t>CNG Paid &amp; Vendor Payment</t>
        </is>
      </c>
    </row>
    <row r="2" ht="41.4" customFormat="1" customHeight="1" s="58">
      <c r="A2" s="59" t="inlineStr">
        <is>
          <t>2026-27/001</t>
        </is>
      </c>
      <c r="B2" s="60" t="n">
        <v>1</v>
      </c>
      <c r="C2" s="55" t="n">
        <v>46113</v>
      </c>
      <c r="D2" s="56" t="inlineStr">
        <is>
          <t>LALIT INDUSTRIES BULIDING</t>
        </is>
      </c>
      <c r="E2" s="56" t="inlineStr">
        <is>
          <t>NO.6, GALA NO 101, MITTAL INDUSTRIES ESTATE, ANDHERI KURLA ROAD, M.V. ROAD, MUMBAI 400059</t>
        </is>
      </c>
      <c r="F2" s="63" t="inlineStr">
        <is>
          <t>Rakesh</t>
        </is>
      </c>
      <c r="G2" s="56" t="n">
        <v>7021056086</v>
      </c>
      <c r="H2" s="60" t="inlineStr">
        <is>
          <t>Mumbai</t>
        </is>
      </c>
      <c r="I2" s="60" t="inlineStr">
        <is>
          <t>Maharashtra</t>
        </is>
      </c>
      <c r="J2" s="60" t="n">
        <v>172</v>
      </c>
      <c r="K2" s="60" t="n">
        <v>2450</v>
      </c>
      <c r="L2" s="60" t="n">
        <v>2450</v>
      </c>
      <c r="M2" s="60" t="inlineStr">
        <is>
          <t>Delivered</t>
        </is>
      </c>
      <c r="N2" s="61" t="n">
        <v>46114</v>
      </c>
      <c r="O2" s="57" t="n">
        <v>1</v>
      </c>
      <c r="P2" s="105" t="n">
        <v>10</v>
      </c>
      <c r="Q2" s="105" t="n">
        <v>16000</v>
      </c>
      <c r="R2" s="63" t="n"/>
      <c r="S2" s="60" t="inlineStr">
        <is>
          <t>Third Party</t>
        </is>
      </c>
      <c r="T2" s="60" t="inlineStr">
        <is>
          <t>Gopi</t>
        </is>
      </c>
      <c r="U2" s="64" t="n">
        <v>11000</v>
      </c>
    </row>
    <row r="3" ht="27.6" customFormat="1" customHeight="1" s="58">
      <c r="A3" s="59" t="n">
        <v>260100047</v>
      </c>
      <c r="B3" s="60" t="n">
        <v>2</v>
      </c>
      <c r="C3" s="55" t="n">
        <v>46118</v>
      </c>
      <c r="D3" s="56" t="inlineStr">
        <is>
          <t>FERYEZ POLYMER PVT LTD</t>
        </is>
      </c>
      <c r="E3" s="56" t="inlineStr">
        <is>
          <t>SR.NO.172, CHICHWADGAON, PUNE 411033 MAHARASHTRA</t>
        </is>
      </c>
      <c r="F3" s="56" t="inlineStr">
        <is>
          <t xml:space="preserve">Sandip </t>
        </is>
      </c>
      <c r="G3" s="56" t="n">
        <v>9503161311</v>
      </c>
      <c r="H3" s="60" t="inlineStr">
        <is>
          <t>Pune</t>
        </is>
      </c>
      <c r="I3" s="60" t="inlineStr">
        <is>
          <t>Maharashtra</t>
        </is>
      </c>
      <c r="J3" s="60" t="n">
        <v>20</v>
      </c>
      <c r="K3" s="60" t="n">
        <v>397</v>
      </c>
      <c r="L3" s="60" t="n">
        <v>397</v>
      </c>
      <c r="M3" s="60" t="inlineStr">
        <is>
          <t>Delivered</t>
        </is>
      </c>
      <c r="N3" s="61" t="n">
        <v>46120</v>
      </c>
      <c r="O3" s="57" t="n">
        <v>1</v>
      </c>
      <c r="P3" s="105" t="n">
        <v>10</v>
      </c>
      <c r="Q3" s="105">
        <f>L3*P3</f>
        <v/>
      </c>
      <c r="R3" s="63" t="n"/>
      <c r="S3" s="60" t="n"/>
      <c r="T3" s="60" t="n"/>
      <c r="U3" s="64" t="n"/>
    </row>
    <row r="4" ht="41.4" customFormat="1" customHeight="1" s="58">
      <c r="A4" s="59" t="n">
        <v>260100048</v>
      </c>
      <c r="B4" s="60" t="n">
        <v>3</v>
      </c>
      <c r="C4" s="55" t="n">
        <v>46119</v>
      </c>
      <c r="D4" s="56" t="inlineStr">
        <is>
          <t>NIKY PRECISION(MULAY POLYMERS PVT. LTD.)</t>
        </is>
      </c>
      <c r="E4" s="56" t="inlineStr">
        <is>
          <t>Gat No 679/2/1 Plot No. 30/6, Chakan Alandi Road, Tal.-Khed Dist.-Pune-410501.</t>
        </is>
      </c>
      <c r="F4" s="56" t="inlineStr">
        <is>
          <t xml:space="preserve">Rajkumar </t>
        </is>
      </c>
      <c r="G4" s="56" t="n">
        <v>9156575795</v>
      </c>
      <c r="H4" s="60" t="inlineStr">
        <is>
          <t>Pune</t>
        </is>
      </c>
      <c r="I4" s="60" t="inlineStr">
        <is>
          <t>Maharashtra</t>
        </is>
      </c>
      <c r="J4" s="60" t="n">
        <v>23</v>
      </c>
      <c r="K4" s="60" t="n">
        <v>221</v>
      </c>
      <c r="L4" s="60" t="n">
        <v>221</v>
      </c>
      <c r="M4" s="60" t="inlineStr">
        <is>
          <t>Delivered</t>
        </is>
      </c>
      <c r="N4" s="55" t="n">
        <v>46120</v>
      </c>
      <c r="O4" s="65" t="n">
        <v>1</v>
      </c>
      <c r="P4" s="105" t="n">
        <v>10</v>
      </c>
      <c r="Q4" s="105">
        <f>L4*P4</f>
        <v/>
      </c>
      <c r="R4" s="60" t="n"/>
      <c r="S4" s="60" t="n"/>
      <c r="T4" s="64" t="n"/>
      <c r="U4" s="64" t="n"/>
    </row>
    <row r="5" ht="27.6" customFormat="1" customHeight="1" s="58">
      <c r="A5" s="59" t="n"/>
      <c r="B5" s="60" t="n">
        <v>4</v>
      </c>
      <c r="C5" s="55" t="n">
        <v>46119</v>
      </c>
      <c r="D5" s="56" t="inlineStr">
        <is>
          <t>BLOOMSHIELD ENGGINEERING &amp; SERVICES</t>
        </is>
      </c>
      <c r="E5" s="56" t="inlineStr">
        <is>
          <t xml:space="preserve">PLOT NO A-3/3 BHOSARI </t>
        </is>
      </c>
      <c r="F5" s="56" t="inlineStr">
        <is>
          <t xml:space="preserve">GANESH SHINDE </t>
        </is>
      </c>
      <c r="G5" s="56" t="n">
        <v>9075455505</v>
      </c>
      <c r="H5" s="60" t="inlineStr">
        <is>
          <t>Pune</t>
        </is>
      </c>
      <c r="I5" s="60" t="inlineStr">
        <is>
          <t>Maharashtra</t>
        </is>
      </c>
      <c r="J5" s="60" t="n">
        <v>2</v>
      </c>
      <c r="K5" s="60" t="n">
        <v>53</v>
      </c>
      <c r="L5" s="60" t="n">
        <v>53</v>
      </c>
      <c r="M5" s="60" t="inlineStr">
        <is>
          <t>Delivered</t>
        </is>
      </c>
      <c r="N5" s="55" t="n">
        <v>46120</v>
      </c>
      <c r="O5" s="65" t="n">
        <v>1</v>
      </c>
      <c r="P5" s="105" t="n">
        <v>10</v>
      </c>
      <c r="Q5" s="105">
        <f>L5*P5</f>
        <v/>
      </c>
      <c r="R5" s="60" t="n"/>
      <c r="S5" s="60" t="n"/>
      <c r="T5" s="64" t="n"/>
      <c r="U5" s="64" t="n"/>
    </row>
    <row r="6" ht="27.6" customHeight="1">
      <c r="A6" s="59" t="n">
        <v>260100049</v>
      </c>
      <c r="B6" s="60" t="n">
        <v>5</v>
      </c>
      <c r="C6" s="55" t="n">
        <v>46120</v>
      </c>
      <c r="D6" s="56" t="inlineStr">
        <is>
          <t>TANISHQ PRECISION FASTENERS LLP</t>
        </is>
      </c>
      <c r="E6" s="56" t="inlineStr">
        <is>
          <t>GAT NO – 877, NIGHOJE, TAL -KHED, CHAKAN, PUNE-410501</t>
        </is>
      </c>
      <c r="F6" s="56" t="inlineStr">
        <is>
          <t>Sanjay</t>
        </is>
      </c>
      <c r="G6" s="56" t="n">
        <v>9579951621</v>
      </c>
      <c r="H6" s="60" t="inlineStr">
        <is>
          <t>Pune</t>
        </is>
      </c>
      <c r="I6" s="60" t="inlineStr">
        <is>
          <t>Maharashtra</t>
        </is>
      </c>
      <c r="J6" s="60" t="n">
        <v>20</v>
      </c>
      <c r="K6" s="60" t="n">
        <v>355</v>
      </c>
      <c r="L6" s="60" t="n">
        <v>355</v>
      </c>
      <c r="M6" s="60" t="inlineStr">
        <is>
          <t>Delivered</t>
        </is>
      </c>
      <c r="N6" s="55" t="n">
        <v>46122</v>
      </c>
      <c r="O6" s="65" t="n">
        <v>1</v>
      </c>
      <c r="P6" s="105" t="n">
        <v>10</v>
      </c>
      <c r="Q6" s="105">
        <f>L6*P6</f>
        <v/>
      </c>
      <c r="R6" s="60" t="n"/>
      <c r="S6" s="60" t="n"/>
      <c r="T6" s="64" t="n"/>
      <c r="U6" s="60" t="n"/>
      <c r="V6" s="63" t="n"/>
    </row>
    <row r="7" ht="27.6" customHeight="1">
      <c r="A7" s="59" t="n">
        <v>260100050</v>
      </c>
      <c r="B7" s="60" t="n">
        <v>6</v>
      </c>
      <c r="C7" s="55" t="n">
        <v>46121</v>
      </c>
      <c r="D7" s="56" t="inlineStr">
        <is>
          <t>ASTRA AUTOLITES</t>
        </is>
      </c>
      <c r="E7" s="56" t="inlineStr">
        <is>
          <t>GAT NO, 139B, ALANDI MARKAL ROAD, PUNE - 412105</t>
        </is>
      </c>
      <c r="F7" s="56" t="inlineStr">
        <is>
          <t>Flavia</t>
        </is>
      </c>
      <c r="G7" s="56" t="n">
        <v>9960525493</v>
      </c>
      <c r="H7" s="60" t="inlineStr">
        <is>
          <t>Pune</t>
        </is>
      </c>
      <c r="I7" s="60" t="inlineStr">
        <is>
          <t>Maharashtra</t>
        </is>
      </c>
      <c r="J7" s="60" t="n">
        <v>2</v>
      </c>
      <c r="K7" s="60" t="n">
        <v>28</v>
      </c>
      <c r="L7" s="60" t="n">
        <v>28</v>
      </c>
      <c r="M7" s="60" t="inlineStr">
        <is>
          <t>Delivered</t>
        </is>
      </c>
      <c r="N7" s="55" t="n">
        <v>46122</v>
      </c>
      <c r="O7" s="65" t="n">
        <v>1</v>
      </c>
      <c r="P7" s="105" t="n">
        <v>10</v>
      </c>
      <c r="Q7" s="105">
        <f>L7*P7</f>
        <v/>
      </c>
      <c r="S7" s="60" t="n"/>
      <c r="T7" s="60" t="n"/>
      <c r="U7" s="64" t="n"/>
      <c r="V7" s="63" t="n"/>
    </row>
    <row r="8" ht="27.6" customFormat="1" customHeight="1" s="58">
      <c r="A8" s="59" t="n">
        <v>260100051</v>
      </c>
      <c r="B8" s="60" t="n">
        <v>7</v>
      </c>
      <c r="C8" s="55" t="n">
        <v>46121</v>
      </c>
      <c r="D8" s="56" t="inlineStr">
        <is>
          <t>JAI BHAVANI MATA ENGITECH PRIVATE LIMITED</t>
        </is>
      </c>
      <c r="E8" s="56" t="inlineStr">
        <is>
          <t>681, LANDEWADI, BHOSARI . BHOSARI , PUNE – 411026</t>
        </is>
      </c>
      <c r="F8" s="56" t="inlineStr">
        <is>
          <t>Balaji</t>
        </is>
      </c>
      <c r="G8" s="56" t="n">
        <v>9765567788</v>
      </c>
      <c r="H8" s="60" t="inlineStr">
        <is>
          <t>Pune</t>
        </is>
      </c>
      <c r="I8" s="60" t="inlineStr">
        <is>
          <t>Maharashtra</t>
        </is>
      </c>
      <c r="J8" s="60" t="n">
        <v>12</v>
      </c>
      <c r="K8" s="60" t="n">
        <v>178</v>
      </c>
      <c r="L8" s="60" t="n">
        <v>178</v>
      </c>
      <c r="M8" s="60" t="inlineStr">
        <is>
          <t>Delivered</t>
        </is>
      </c>
      <c r="N8" s="55" t="n">
        <v>46122</v>
      </c>
      <c r="O8" s="65" t="n">
        <v>1</v>
      </c>
      <c r="P8" s="105" t="n">
        <v>10</v>
      </c>
      <c r="Q8" s="105">
        <f>L8*P8</f>
        <v/>
      </c>
      <c r="R8" s="63" t="n"/>
      <c r="S8" s="60" t="n"/>
      <c r="T8" s="60" t="n"/>
      <c r="U8" s="64" t="n"/>
    </row>
    <row r="9" ht="41.4" customFormat="1" customHeight="1" s="58">
      <c r="A9" s="59" t="n">
        <v>260100052</v>
      </c>
      <c r="B9" s="60" t="n">
        <v>8</v>
      </c>
      <c r="C9" s="55" t="n">
        <v>46121</v>
      </c>
      <c r="D9" s="56" t="inlineStr">
        <is>
          <t>NIKY PRECISION ENGINEERS PRIVATE LIMITED</t>
        </is>
      </c>
      <c r="E9" s="56" t="inlineStr">
        <is>
          <t xml:space="preserve"> PLOT NO 15, GALA NO 1, 3, 5, 7, PLOT NO 9, S NO 38/2/18, 16, NARHE, PUNE-411041</t>
        </is>
      </c>
      <c r="F9" s="56" t="inlineStr">
        <is>
          <t>Jeevan</t>
        </is>
      </c>
      <c r="G9" s="56" t="n">
        <v>8446006021</v>
      </c>
      <c r="H9" s="60" t="inlineStr">
        <is>
          <t>Pune</t>
        </is>
      </c>
      <c r="I9" s="60" t="inlineStr">
        <is>
          <t>Maharashtra</t>
        </is>
      </c>
      <c r="J9" s="60" t="n">
        <v>27</v>
      </c>
      <c r="K9" s="60" t="n">
        <v>248</v>
      </c>
      <c r="L9" s="60" t="n">
        <v>248</v>
      </c>
      <c r="M9" s="60" t="inlineStr">
        <is>
          <t>Delivered</t>
        </is>
      </c>
      <c r="N9" s="55" t="n">
        <v>46122</v>
      </c>
      <c r="O9" s="65" t="n">
        <v>1</v>
      </c>
      <c r="P9" s="105" t="n">
        <v>10</v>
      </c>
      <c r="Q9" s="105">
        <f>L9*P9</f>
        <v/>
      </c>
      <c r="R9" s="63" t="n"/>
      <c r="S9" s="60" t="n"/>
      <c r="T9" s="60" t="n"/>
      <c r="U9" s="64" t="n"/>
    </row>
    <row r="10" ht="27.6" customFormat="1" customHeight="1" s="58">
      <c r="A10" s="59" t="n">
        <v>260100053</v>
      </c>
      <c r="B10" s="60" t="n">
        <v>9</v>
      </c>
      <c r="C10" s="55" t="n">
        <v>46121</v>
      </c>
      <c r="D10" s="56" t="inlineStr">
        <is>
          <t>PACOLINE INDUSTRIES PRIVATE LIMITED</t>
        </is>
      </c>
      <c r="E10" s="56" t="inlineStr">
        <is>
          <t>21 Hadapsar Indl Estate  Pune 411013</t>
        </is>
      </c>
      <c r="F10" s="56" t="inlineStr">
        <is>
          <t>SOURAV</t>
        </is>
      </c>
      <c r="G10" s="56" t="n">
        <v>9552519571</v>
      </c>
      <c r="H10" s="60" t="inlineStr">
        <is>
          <t>Pune</t>
        </is>
      </c>
      <c r="I10" s="60" t="inlineStr">
        <is>
          <t>Maharashtra</t>
        </is>
      </c>
      <c r="J10" s="60" t="inlineStr">
        <is>
          <t>cancel</t>
        </is>
      </c>
      <c r="K10" s="60" t="inlineStr">
        <is>
          <t>cancel</t>
        </is>
      </c>
      <c r="L10" s="60" t="inlineStr">
        <is>
          <t>cancel</t>
        </is>
      </c>
      <c r="M10" s="60" t="inlineStr">
        <is>
          <t>cancel</t>
        </is>
      </c>
      <c r="N10" s="60" t="inlineStr">
        <is>
          <t>cancel</t>
        </is>
      </c>
      <c r="O10" s="60" t="inlineStr">
        <is>
          <t>cancel</t>
        </is>
      </c>
      <c r="P10" s="60" t="inlineStr">
        <is>
          <t>cancel</t>
        </is>
      </c>
      <c r="Q10" s="105" t="n"/>
      <c r="R10" s="63" t="n"/>
      <c r="S10" s="60" t="n"/>
      <c r="T10" s="60" t="n"/>
      <c r="U10" s="64" t="n"/>
    </row>
    <row r="11" ht="14.4" customFormat="1" customHeight="1" s="58">
      <c r="A11" s="59" t="n">
        <v>260100054</v>
      </c>
      <c r="B11" s="60" t="n">
        <v>10</v>
      </c>
      <c r="C11" s="55" t="n">
        <v>46121</v>
      </c>
      <c r="D11" s="56" t="inlineStr">
        <is>
          <t>Lumax industries</t>
        </is>
      </c>
      <c r="E11" s="56" t="inlineStr">
        <is>
          <t>D2/43-44 MIDC INDL Area Chinchwad</t>
        </is>
      </c>
      <c r="F11" s="56" t="inlineStr">
        <is>
          <t>Sandeep</t>
        </is>
      </c>
      <c r="G11" s="56" t="n">
        <v>9657704906</v>
      </c>
      <c r="H11" s="60" t="inlineStr">
        <is>
          <t>Pune</t>
        </is>
      </c>
      <c r="I11" s="60" t="inlineStr">
        <is>
          <t>Maharashtra</t>
        </is>
      </c>
      <c r="J11" s="60" t="n">
        <v>2</v>
      </c>
      <c r="K11" s="60" t="n">
        <v>41</v>
      </c>
      <c r="L11" s="60" t="n">
        <v>41</v>
      </c>
      <c r="M11" s="60" t="inlineStr">
        <is>
          <t>Delivered</t>
        </is>
      </c>
      <c r="N11" s="55" t="n">
        <v>46122</v>
      </c>
      <c r="O11" s="65" t="n">
        <v>1</v>
      </c>
      <c r="P11" s="105" t="n">
        <v>10</v>
      </c>
      <c r="Q11" s="105">
        <f>L11*P11</f>
        <v/>
      </c>
      <c r="R11" s="63" t="n"/>
      <c r="S11" s="60" t="n"/>
      <c r="T11" s="60" t="n"/>
      <c r="U11" s="64" t="n"/>
    </row>
    <row r="12" ht="14.4" customFormat="1" customHeight="1" s="58">
      <c r="A12" s="59" t="n">
        <v>260100055</v>
      </c>
      <c r="B12" s="60" t="n">
        <v>11</v>
      </c>
      <c r="C12" s="55" t="n">
        <v>46122</v>
      </c>
      <c r="D12" s="56" t="inlineStr">
        <is>
          <t>AKAR AUTO INDUSTRIES LIMIT</t>
        </is>
      </c>
      <c r="E12" s="56" t="inlineStr">
        <is>
          <t>E 5 MIDC WALUJ, AURANGABAD</t>
        </is>
      </c>
      <c r="F12" s="56" t="inlineStr">
        <is>
          <t>Mushtaq</t>
        </is>
      </c>
      <c r="G12" s="56" t="n">
        <v>9890997721</v>
      </c>
      <c r="H12" s="60" t="inlineStr">
        <is>
          <t>Sambhaji nagar</t>
        </is>
      </c>
      <c r="I12" s="60" t="inlineStr">
        <is>
          <t>Maharashtra</t>
        </is>
      </c>
      <c r="J12" s="60" t="n">
        <v>101</v>
      </c>
      <c r="K12" s="60" t="n">
        <v>2000</v>
      </c>
      <c r="L12" s="60" t="n">
        <v>2000</v>
      </c>
      <c r="M12" s="60" t="inlineStr">
        <is>
          <t>Delivered</t>
        </is>
      </c>
      <c r="N12" s="66" t="n">
        <v>46123</v>
      </c>
      <c r="O12" s="65" t="n">
        <v>1</v>
      </c>
      <c r="P12" s="105" t="n">
        <v>10</v>
      </c>
      <c r="Q12" s="105" t="n">
        <v>16000</v>
      </c>
      <c r="R12" s="63" t="n"/>
      <c r="S12" s="60" t="inlineStr">
        <is>
          <t>Third Party</t>
        </is>
      </c>
      <c r="T12" s="60" t="n"/>
      <c r="U12" s="64" t="n">
        <v>8500</v>
      </c>
    </row>
    <row r="13" ht="27.6" customFormat="1" customHeight="1" s="58">
      <c r="A13" s="59" t="n">
        <v>260100056</v>
      </c>
      <c r="B13" s="60" t="n">
        <v>12</v>
      </c>
      <c r="C13" s="55" t="n">
        <v>46123</v>
      </c>
      <c r="D13" s="56" t="inlineStr">
        <is>
          <t>PREMIER SEALS INDIA PRIVATE LTD</t>
        </is>
      </c>
      <c r="E13" s="56" t="inlineStr">
        <is>
          <t>20/8, D-1 BLOCK, MIDC, CHINCHWAD, PUNE MAHARASHTRA 411019</t>
        </is>
      </c>
      <c r="F13" s="56" t="inlineStr">
        <is>
          <t xml:space="preserve">Mita </t>
        </is>
      </c>
      <c r="G13" s="56" t="n">
        <v>8956347535</v>
      </c>
      <c r="H13" s="60" t="inlineStr">
        <is>
          <t>Pune</t>
        </is>
      </c>
      <c r="I13" s="60" t="inlineStr">
        <is>
          <t>Maharashtra</t>
        </is>
      </c>
      <c r="J13" s="60" t="n">
        <v>4</v>
      </c>
      <c r="K13" s="60" t="n">
        <v>72</v>
      </c>
      <c r="L13" s="60" t="n">
        <v>72</v>
      </c>
      <c r="M13" s="60" t="inlineStr">
        <is>
          <t>Delivered</t>
        </is>
      </c>
      <c r="N13" s="66" t="n">
        <v>46125</v>
      </c>
      <c r="O13" s="65" t="n">
        <v>1</v>
      </c>
      <c r="P13" s="105" t="n">
        <v>10</v>
      </c>
      <c r="Q13" s="105">
        <f>L13*P13</f>
        <v/>
      </c>
      <c r="R13" s="63" t="n"/>
      <c r="S13" s="60" t="n"/>
      <c r="T13" s="60" t="n"/>
      <c r="U13" s="64" t="n"/>
    </row>
    <row r="14" ht="41.4" customFormat="1" customHeight="1" s="58">
      <c r="A14" s="59" t="n">
        <v>260100057</v>
      </c>
      <c r="B14" s="60" t="n">
        <v>13</v>
      </c>
      <c r="C14" s="55" t="n">
        <v>46123</v>
      </c>
      <c r="D14" s="56" t="inlineStr">
        <is>
          <t>THANUSAR ENTERPRISES</t>
        </is>
      </c>
      <c r="E14" s="56" t="inlineStr">
        <is>
          <t>PLOT NO 4/50, ADHAR INDUSTRIAL PREMISES, SECTOR NO 10 MIDC, BHOSARI PUNE</t>
        </is>
      </c>
      <c r="F14" s="56" t="inlineStr">
        <is>
          <t>Vishnu/kiran</t>
        </is>
      </c>
      <c r="G14" s="54" t="inlineStr">
        <is>
          <t>9036230620 / 9003133891</t>
        </is>
      </c>
      <c r="H14" s="60" t="inlineStr">
        <is>
          <t>Pune</t>
        </is>
      </c>
      <c r="I14" s="60" t="inlineStr">
        <is>
          <t>Maharashtra</t>
        </is>
      </c>
      <c r="J14" s="60" t="n">
        <v>10</v>
      </c>
      <c r="K14" s="60" t="n">
        <v>205</v>
      </c>
      <c r="L14" s="60" t="n">
        <v>205</v>
      </c>
      <c r="M14" s="60" t="inlineStr">
        <is>
          <t>Delivered</t>
        </is>
      </c>
      <c r="N14" s="66" t="n">
        <v>46125</v>
      </c>
      <c r="O14" s="65" t="n">
        <v>1</v>
      </c>
      <c r="P14" s="105" t="n">
        <v>10</v>
      </c>
      <c r="Q14" s="105">
        <f>L14*P14</f>
        <v/>
      </c>
      <c r="R14" s="63" t="n"/>
      <c r="S14" s="60" t="n"/>
      <c r="T14" s="60" t="n"/>
      <c r="U14" s="64" t="n"/>
    </row>
    <row r="15" ht="31.95" customFormat="1" customHeight="1" s="58">
      <c r="A15" s="59" t="n">
        <v>260100058</v>
      </c>
      <c r="B15" s="60" t="n">
        <v>14</v>
      </c>
      <c r="C15" s="55" t="n">
        <v>46125</v>
      </c>
      <c r="D15" s="56" t="inlineStr">
        <is>
          <t>FERYEZ POLYMER PVT LTD</t>
        </is>
      </c>
      <c r="E15" s="56" t="inlineStr">
        <is>
          <t>SR.NO.172, CHICHWADGAON, PUNE 411033 MAHARASHTRA</t>
        </is>
      </c>
      <c r="F15" s="56" t="inlineStr">
        <is>
          <t xml:space="preserve">Sandip </t>
        </is>
      </c>
      <c r="G15" s="56" t="n">
        <v>9503161311</v>
      </c>
      <c r="H15" s="60" t="inlineStr">
        <is>
          <t>Pune</t>
        </is>
      </c>
      <c r="I15" s="60" t="inlineStr">
        <is>
          <t>Maharashtra</t>
        </is>
      </c>
      <c r="J15" s="60" t="n">
        <v>32</v>
      </c>
      <c r="K15" s="60" t="n">
        <v>638</v>
      </c>
      <c r="L15" s="60" t="n">
        <v>638</v>
      </c>
      <c r="M15" s="60" t="inlineStr">
        <is>
          <t>Delivered</t>
        </is>
      </c>
      <c r="N15" s="66" t="n">
        <v>46125</v>
      </c>
      <c r="O15" s="65">
        <f>N15-C15</f>
        <v/>
      </c>
      <c r="P15" s="105" t="n">
        <v>10</v>
      </c>
      <c r="Q15" s="105">
        <f>L15*P15</f>
        <v/>
      </c>
      <c r="R15" s="63" t="n"/>
      <c r="S15" s="60" t="n"/>
      <c r="T15" s="60" t="n"/>
      <c r="U15" s="64" t="n"/>
    </row>
    <row r="16" ht="27.6" customFormat="1" customHeight="1" s="58">
      <c r="A16" s="59" t="n">
        <v>260100060</v>
      </c>
      <c r="B16" s="60" t="n">
        <v>15</v>
      </c>
      <c r="C16" s="55" t="n">
        <v>46126</v>
      </c>
      <c r="D16" s="56" t="inlineStr">
        <is>
          <t>ASTRA AUTOLITES</t>
        </is>
      </c>
      <c r="E16" s="56" t="inlineStr">
        <is>
          <t>GAT NO, 139B, ALANDI MARKAL ROAD, PUNE - 412105</t>
        </is>
      </c>
      <c r="F16" s="56" t="inlineStr">
        <is>
          <t>Flavia</t>
        </is>
      </c>
      <c r="G16" s="56" t="n">
        <v>9960525493</v>
      </c>
      <c r="H16" s="60" t="inlineStr">
        <is>
          <t>Pune</t>
        </is>
      </c>
      <c r="I16" s="60" t="inlineStr">
        <is>
          <t>Maharashtra</t>
        </is>
      </c>
      <c r="J16" s="60" t="n">
        <v>17</v>
      </c>
      <c r="K16" s="60" t="n">
        <v>109</v>
      </c>
      <c r="L16" s="60" t="n">
        <v>109</v>
      </c>
      <c r="M16" s="60" t="inlineStr">
        <is>
          <t>Delivered</t>
        </is>
      </c>
      <c r="N16" s="55" t="n">
        <v>46126</v>
      </c>
      <c r="O16" s="65">
        <f>N16-C16</f>
        <v/>
      </c>
      <c r="P16" s="105" t="n">
        <v>10</v>
      </c>
      <c r="Q16" s="105">
        <f>L16*P16</f>
        <v/>
      </c>
      <c r="R16" s="63" t="n"/>
      <c r="S16" s="60" t="n"/>
      <c r="T16" s="60" t="n"/>
      <c r="U16" s="64" t="n"/>
    </row>
    <row r="17" ht="41.4" customFormat="1" customHeight="1" s="58">
      <c r="A17" s="59" t="n">
        <v>260100061</v>
      </c>
      <c r="B17" s="60" t="n">
        <v>16</v>
      </c>
      <c r="C17" s="55" t="n">
        <v>46126</v>
      </c>
      <c r="D17" s="56" t="inlineStr">
        <is>
          <t>NIKY PRECISION(MULAY POLYMERS PVT. LTD.)</t>
        </is>
      </c>
      <c r="E17" s="56" t="inlineStr">
        <is>
          <t>Gat No 679/2/1 Plot No. 30/6, Chakan Alandi Road, Tal.-Khed Dist.-Pune-410501.</t>
        </is>
      </c>
      <c r="F17" s="56" t="inlineStr">
        <is>
          <t xml:space="preserve">Rajkumar </t>
        </is>
      </c>
      <c r="G17" s="56" t="n">
        <v>9156575795</v>
      </c>
      <c r="H17" s="60" t="inlineStr">
        <is>
          <t>Pune</t>
        </is>
      </c>
      <c r="I17" s="60" t="inlineStr">
        <is>
          <t>Maharashtra</t>
        </is>
      </c>
      <c r="J17" s="60" t="n">
        <v>36</v>
      </c>
      <c r="K17" s="60" t="n">
        <v>305</v>
      </c>
      <c r="L17" s="60" t="n">
        <v>305</v>
      </c>
      <c r="M17" s="60" t="inlineStr">
        <is>
          <t>Delivered</t>
        </is>
      </c>
      <c r="N17" s="55" t="n">
        <v>46126</v>
      </c>
      <c r="O17" s="65">
        <f>N17-C17</f>
        <v/>
      </c>
      <c r="P17" s="105" t="n">
        <v>10</v>
      </c>
      <c r="Q17" s="105">
        <f>L17*P17</f>
        <v/>
      </c>
      <c r="R17" s="63" t="n"/>
      <c r="S17" s="60" t="n"/>
      <c r="T17" s="60" t="n"/>
      <c r="U17" s="64" t="n"/>
    </row>
    <row r="18" ht="41.4" customFormat="1" customHeight="1" s="58">
      <c r="A18" s="59" t="n">
        <v>260100059</v>
      </c>
      <c r="B18" s="60" t="n">
        <v>17</v>
      </c>
      <c r="C18" s="55" t="n">
        <v>46125</v>
      </c>
      <c r="D18" s="56" t="inlineStr">
        <is>
          <t>LALIT INDUSTRIES BULIDING</t>
        </is>
      </c>
      <c r="E18" s="56" t="inlineStr">
        <is>
          <t>NO.6, GALA NO 101, MITTAL INDUSTRIES ESTATE, ANDHERI KURLA ROAD, M.V. ROAD, MUMBAI 400059</t>
        </is>
      </c>
      <c r="F18" s="63" t="inlineStr">
        <is>
          <t>Rakesh</t>
        </is>
      </c>
      <c r="G18" s="56" t="n">
        <v>7021056086</v>
      </c>
      <c r="H18" s="60" t="inlineStr">
        <is>
          <t>Mumbai</t>
        </is>
      </c>
      <c r="I18" s="60" t="inlineStr">
        <is>
          <t>Maharashtra</t>
        </is>
      </c>
      <c r="J18" s="60" t="n">
        <v>47</v>
      </c>
      <c r="K18" s="60" t="n">
        <v>630</v>
      </c>
      <c r="L18" s="60" t="n">
        <v>630</v>
      </c>
      <c r="M18" s="60" t="inlineStr">
        <is>
          <t>Delivered</t>
        </is>
      </c>
      <c r="N18" s="66" t="n">
        <v>46128</v>
      </c>
      <c r="O18" s="65" t="n">
        <v>0</v>
      </c>
      <c r="P18" s="105" t="n">
        <v>10</v>
      </c>
      <c r="Q18" s="105">
        <f>L18*P18</f>
        <v/>
      </c>
      <c r="R18" s="63" t="n"/>
      <c r="S18" s="60" t="inlineStr">
        <is>
          <t>Third Party</t>
        </is>
      </c>
      <c r="T18" s="64" t="inlineStr">
        <is>
          <t>VELOCITY</t>
        </is>
      </c>
      <c r="U18" s="64" t="n">
        <v>2250</v>
      </c>
    </row>
    <row r="19" ht="55.2" customFormat="1" customHeight="1" s="58">
      <c r="A19" s="59" t="n">
        <v>260100062</v>
      </c>
      <c r="B19" s="60" t="n">
        <v>18</v>
      </c>
      <c r="C19" s="55" t="n">
        <v>46125</v>
      </c>
      <c r="D19" s="56" t="inlineStr">
        <is>
          <t>PRESSTECH INDIA</t>
        </is>
      </c>
      <c r="E19" s="56" t="inlineStr">
        <is>
          <t>9 RAVIRAJ INDUSTRIAL ESTATE PREMISES LTD MIRA BHAYANDER ROAD BEHIND MILAN PALACE BHAYANDER EAST THANE 401107</t>
        </is>
      </c>
      <c r="F19" s="56" t="inlineStr">
        <is>
          <t xml:space="preserve">MAHESH </t>
        </is>
      </c>
      <c r="G19" s="56" t="n">
        <v>8108068800</v>
      </c>
      <c r="H19" s="60" t="inlineStr">
        <is>
          <t>Mumbai</t>
        </is>
      </c>
      <c r="I19" s="60" t="inlineStr">
        <is>
          <t>Maharashtra</t>
        </is>
      </c>
      <c r="J19" s="60" t="n">
        <v>2</v>
      </c>
      <c r="K19" s="60" t="n">
        <v>35</v>
      </c>
      <c r="L19" s="60" t="n">
        <v>35</v>
      </c>
      <c r="M19" s="60" t="inlineStr">
        <is>
          <t>Delivered</t>
        </is>
      </c>
      <c r="N19" s="66" t="n">
        <v>46128</v>
      </c>
      <c r="O19" s="65" t="n">
        <v>0</v>
      </c>
      <c r="P19" s="105" t="n">
        <v>10</v>
      </c>
      <c r="Q19" s="105">
        <f>L19*P19</f>
        <v/>
      </c>
      <c r="R19" s="63" t="n"/>
      <c r="S19" s="60" t="inlineStr">
        <is>
          <t>Third Party</t>
        </is>
      </c>
      <c r="T19" s="64" t="inlineStr">
        <is>
          <t>VELOCITY</t>
        </is>
      </c>
      <c r="U19" s="64" t="n">
        <v>100</v>
      </c>
    </row>
    <row r="20" ht="41.4" customFormat="1" customHeight="1" s="58">
      <c r="A20" s="59" t="n">
        <v>260100063</v>
      </c>
      <c r="B20" s="60" t="n">
        <v>19</v>
      </c>
      <c r="C20" s="55" t="n">
        <v>46127</v>
      </c>
      <c r="D20" s="56" t="inlineStr">
        <is>
          <t>NIKY PRECISION ENGINEERS PRIVATE LIMITED</t>
        </is>
      </c>
      <c r="E20" s="56" t="inlineStr">
        <is>
          <t xml:space="preserve"> PLOT NO 15, GALA NO 1, 3, 5, 7, PLOT NO 9, S NO 38/2/18, 16, NARHE, PUNE-411041</t>
        </is>
      </c>
      <c r="F20" s="56" t="inlineStr">
        <is>
          <t>Jeevan</t>
        </is>
      </c>
      <c r="G20" s="56" t="n">
        <v>8446006021</v>
      </c>
      <c r="H20" s="60" t="inlineStr">
        <is>
          <t>Pune</t>
        </is>
      </c>
      <c r="I20" s="60" t="inlineStr">
        <is>
          <t>Maharashtra</t>
        </is>
      </c>
      <c r="J20" s="60" t="n">
        <v>32</v>
      </c>
      <c r="K20" s="60" t="n">
        <v>329</v>
      </c>
      <c r="L20" s="60" t="n">
        <v>329</v>
      </c>
      <c r="M20" s="60" t="inlineStr">
        <is>
          <t>Delivered</t>
        </is>
      </c>
      <c r="N20" s="66" t="n">
        <v>46128</v>
      </c>
      <c r="O20" s="65" t="n">
        <v>0</v>
      </c>
      <c r="P20" s="105" t="n">
        <v>10</v>
      </c>
      <c r="Q20" s="105">
        <f>L20*P20</f>
        <v/>
      </c>
      <c r="R20" s="63" t="n"/>
      <c r="S20" s="60" t="n"/>
      <c r="T20" s="60" t="n"/>
      <c r="U20" s="64" t="n"/>
    </row>
    <row r="21" ht="14.4" customFormat="1" customHeight="1" s="58">
      <c r="A21" s="59" t="n">
        <v>260100064</v>
      </c>
      <c r="B21" s="60" t="n">
        <v>20</v>
      </c>
      <c r="C21" s="55" t="n">
        <v>46127</v>
      </c>
      <c r="D21" s="56" t="inlineStr">
        <is>
          <t>Lumax industries</t>
        </is>
      </c>
      <c r="E21" s="56" t="inlineStr">
        <is>
          <t>D2/43-44 MIDC INDL Area Chinchwad</t>
        </is>
      </c>
      <c r="F21" s="56" t="inlineStr">
        <is>
          <t>Sandeep</t>
        </is>
      </c>
      <c r="G21" s="56" t="n">
        <v>9657704906</v>
      </c>
      <c r="H21" s="60" t="inlineStr">
        <is>
          <t>Pune</t>
        </is>
      </c>
      <c r="I21" s="60" t="inlineStr">
        <is>
          <t>Maharashtra</t>
        </is>
      </c>
      <c r="J21" s="60" t="n">
        <v>2</v>
      </c>
      <c r="K21" s="60" t="n">
        <v>42</v>
      </c>
      <c r="L21" s="60" t="n">
        <v>42</v>
      </c>
      <c r="M21" s="60" t="inlineStr">
        <is>
          <t>Delivered</t>
        </is>
      </c>
      <c r="N21" s="66" t="n">
        <v>46128</v>
      </c>
      <c r="O21" s="65" t="n">
        <v>0</v>
      </c>
      <c r="P21" s="105" t="n">
        <v>10</v>
      </c>
      <c r="Q21" s="105">
        <f>L21*P21</f>
        <v/>
      </c>
      <c r="R21" s="63" t="n"/>
      <c r="S21" s="60" t="n"/>
      <c r="T21" s="60" t="n"/>
      <c r="U21" s="64" t="n"/>
    </row>
    <row r="22" ht="27.6" customFormat="1" customHeight="1" s="58">
      <c r="A22" s="59" t="n">
        <v>260100065</v>
      </c>
      <c r="B22" s="60" t="n">
        <v>21</v>
      </c>
      <c r="C22" s="66" t="n">
        <v>46128</v>
      </c>
      <c r="D22" s="56" t="inlineStr">
        <is>
          <t>PACOLINE INDUSTRIES PRIVATE LIMITED</t>
        </is>
      </c>
      <c r="E22" s="56" t="inlineStr">
        <is>
          <t>21 Hadapsar Indl Estate  Pune 411013</t>
        </is>
      </c>
      <c r="F22" s="56" t="inlineStr">
        <is>
          <t>SOURAV</t>
        </is>
      </c>
      <c r="G22" s="56" t="n">
        <v>9552519571</v>
      </c>
      <c r="H22" s="60" t="inlineStr">
        <is>
          <t>Pune</t>
        </is>
      </c>
      <c r="I22" s="60" t="inlineStr">
        <is>
          <t>Maharashtra</t>
        </is>
      </c>
      <c r="J22" s="60" t="n">
        <v>18</v>
      </c>
      <c r="K22" s="60" t="n">
        <v>204</v>
      </c>
      <c r="L22" s="60" t="n">
        <v>204</v>
      </c>
      <c r="M22" s="60" t="inlineStr">
        <is>
          <t>Delivered</t>
        </is>
      </c>
      <c r="N22" s="55" t="n">
        <v>46129</v>
      </c>
      <c r="O22" s="65" t="n">
        <v>0</v>
      </c>
      <c r="P22" s="105" t="n">
        <v>10</v>
      </c>
      <c r="Q22" s="105" t="n">
        <v>4500</v>
      </c>
      <c r="R22" s="63" t="n"/>
      <c r="S22" s="60" t="n"/>
      <c r="T22" s="60" t="n"/>
      <c r="U22" s="64" t="n"/>
    </row>
    <row r="23" ht="27.6" customFormat="1" customHeight="1" s="58">
      <c r="A23" s="59" t="n">
        <v>260100066</v>
      </c>
      <c r="B23" s="60" t="n">
        <v>22</v>
      </c>
      <c r="C23" s="66" t="n">
        <v>46130</v>
      </c>
      <c r="D23" s="56" t="inlineStr">
        <is>
          <t>PREMIER SEALS INDIA PRIVATE LTD</t>
        </is>
      </c>
      <c r="E23" s="56" t="inlineStr">
        <is>
          <t>20/8, D-1 BLOCK, MIDC, CHINCHWAD, PUNE MAHARASHTRA 411019</t>
        </is>
      </c>
      <c r="F23" s="56" t="inlineStr">
        <is>
          <t xml:space="preserve">Mita </t>
        </is>
      </c>
      <c r="G23" s="56" t="n">
        <v>8956347535</v>
      </c>
      <c r="H23" s="60" t="inlineStr">
        <is>
          <t>Pune</t>
        </is>
      </c>
      <c r="I23" s="60" t="inlineStr">
        <is>
          <t>Maharashtra</t>
        </is>
      </c>
      <c r="J23" s="60" t="n">
        <v>38</v>
      </c>
      <c r="K23" s="60" t="n">
        <v>236</v>
      </c>
      <c r="L23" s="60" t="n">
        <v>236</v>
      </c>
      <c r="M23" s="60" t="inlineStr">
        <is>
          <t>Delivered</t>
        </is>
      </c>
      <c r="N23" s="66" t="n">
        <v>46132</v>
      </c>
      <c r="O23" s="65" t="n">
        <v>0</v>
      </c>
      <c r="P23" s="105" t="n">
        <v>10</v>
      </c>
      <c r="Q23" s="105">
        <f>L23*P23</f>
        <v/>
      </c>
      <c r="R23" s="63" t="n"/>
      <c r="S23" s="60" t="n"/>
      <c r="T23" s="60" t="n"/>
      <c r="U23" s="64" t="n"/>
    </row>
    <row r="24" ht="14.4" customFormat="1" customHeight="1" s="58">
      <c r="A24" s="59" t="n"/>
      <c r="B24" s="60" t="n">
        <v>23</v>
      </c>
      <c r="C24" s="55" t="n">
        <v>46129</v>
      </c>
      <c r="D24" s="56" t="inlineStr">
        <is>
          <t xml:space="preserve">NIDHI BHIWANDI </t>
        </is>
      </c>
      <c r="E24" s="56" t="inlineStr">
        <is>
          <t>BENCHMARK PICKUP</t>
        </is>
      </c>
      <c r="F24" s="56" t="inlineStr">
        <is>
          <t>NIDHI</t>
        </is>
      </c>
      <c r="G24" s="56" t="n">
        <v>9769077587</v>
      </c>
      <c r="H24" s="60" t="inlineStr">
        <is>
          <t>BHIWANDI</t>
        </is>
      </c>
      <c r="I24" s="60" t="inlineStr">
        <is>
          <t>Maharashtra</t>
        </is>
      </c>
      <c r="J24" s="60" t="n">
        <v>20</v>
      </c>
      <c r="K24" s="60" t="n">
        <v>100</v>
      </c>
      <c r="L24" s="60" t="n">
        <v>100</v>
      </c>
      <c r="M24" s="60" t="n"/>
      <c r="N24" s="66" t="n"/>
      <c r="O24" s="65">
        <f>N24-C24</f>
        <v/>
      </c>
      <c r="P24" s="105" t="n">
        <v>10</v>
      </c>
      <c r="Q24" s="105" t="n"/>
      <c r="R24" s="63" t="n"/>
      <c r="S24" s="60" t="inlineStr">
        <is>
          <t xml:space="preserve">VELOCITY </t>
        </is>
      </c>
      <c r="T24" s="60" t="n"/>
      <c r="U24" s="64" t="n">
        <v>600</v>
      </c>
    </row>
    <row r="25" ht="27.6" customFormat="1" customHeight="1" s="58">
      <c r="A25" s="59" t="n">
        <v>260100067</v>
      </c>
      <c r="B25" s="60" t="n">
        <v>24</v>
      </c>
      <c r="C25" s="66" t="n">
        <v>46130</v>
      </c>
      <c r="D25" s="56" t="inlineStr">
        <is>
          <t>FERYEZ POLYMER PVT LTD</t>
        </is>
      </c>
      <c r="E25" s="56" t="inlineStr">
        <is>
          <t>SR.NO.172, CHICHWADGAON, PUNE 411033 MAHARASHTRA</t>
        </is>
      </c>
      <c r="F25" s="56" t="inlineStr">
        <is>
          <t xml:space="preserve">Sandip </t>
        </is>
      </c>
      <c r="G25" s="56" t="n">
        <v>9503161311</v>
      </c>
      <c r="H25" s="60" t="inlineStr">
        <is>
          <t>Pune</t>
        </is>
      </c>
      <c r="I25" s="60" t="inlineStr">
        <is>
          <t>Maharashtra</t>
        </is>
      </c>
      <c r="J25" s="60" t="n">
        <v>17</v>
      </c>
      <c r="K25" s="60" t="n">
        <v>368</v>
      </c>
      <c r="L25" s="60" t="n">
        <v>368</v>
      </c>
      <c r="M25" s="60" t="inlineStr">
        <is>
          <t>Delivered</t>
        </is>
      </c>
      <c r="N25" s="66" t="n">
        <v>46132</v>
      </c>
      <c r="O25" s="65">
        <f>N25-C25</f>
        <v/>
      </c>
      <c r="P25" s="105" t="n">
        <v>10</v>
      </c>
      <c r="Q25" s="105">
        <f>L25*P25</f>
        <v/>
      </c>
      <c r="R25" s="63" t="n"/>
      <c r="S25" s="60" t="n"/>
      <c r="T25" s="60" t="n"/>
      <c r="U25" s="64" t="n"/>
    </row>
    <row r="26" ht="41.4" customFormat="1" customHeight="1" s="58">
      <c r="A26" s="59" t="n">
        <v>260100068</v>
      </c>
      <c r="B26" s="60" t="n">
        <v>25</v>
      </c>
      <c r="C26" s="66" t="n">
        <v>46132</v>
      </c>
      <c r="D26" s="56" t="inlineStr">
        <is>
          <t>NIKY PRECISION(MULAY POLYMERS PVT. LTD.)</t>
        </is>
      </c>
      <c r="E26" s="56" t="inlineStr">
        <is>
          <t>Gat No 679/2/1 Plot No. 30/6, Chakan Alandi Road, Tal.-Khed Dist.-Pune-410501.</t>
        </is>
      </c>
      <c r="F26" s="56" t="inlineStr">
        <is>
          <t xml:space="preserve">Rajkumar </t>
        </is>
      </c>
      <c r="G26" s="56" t="n">
        <v>9156575795</v>
      </c>
      <c r="H26" s="60" t="inlineStr">
        <is>
          <t>Pune</t>
        </is>
      </c>
      <c r="I26" s="60" t="inlineStr">
        <is>
          <t>Maharashtra</t>
        </is>
      </c>
      <c r="J26" s="60" t="n">
        <v>28</v>
      </c>
      <c r="K26" s="60" t="n">
        <v>268</v>
      </c>
      <c r="L26" s="60" t="n">
        <v>268</v>
      </c>
      <c r="M26" s="60" t="inlineStr">
        <is>
          <t>Delivered</t>
        </is>
      </c>
      <c r="N26" s="66" t="n">
        <v>46132</v>
      </c>
      <c r="O26" s="65">
        <f>N26-C26</f>
        <v/>
      </c>
      <c r="P26" s="105" t="n">
        <v>10</v>
      </c>
      <c r="Q26" s="105">
        <f>L26*P26</f>
        <v/>
      </c>
      <c r="R26" s="63" t="n"/>
      <c r="S26" s="60" t="n"/>
      <c r="T26" s="60" t="n"/>
      <c r="U26" s="64" t="n"/>
    </row>
    <row r="27" ht="41.4" customFormat="1" customHeight="1" s="58">
      <c r="A27" s="59" t="n">
        <v>260100069</v>
      </c>
      <c r="B27" s="60" t="n">
        <v>26</v>
      </c>
      <c r="C27" s="66" t="n">
        <v>46132</v>
      </c>
      <c r="D27" s="56" t="inlineStr">
        <is>
          <t>NIKY PRECISION(MULAY POLYMERS PVT. LTD.)</t>
        </is>
      </c>
      <c r="E27" s="56" t="inlineStr">
        <is>
          <t>Gat No 679/2/1 Plot No. 30/6, Chakan Alandi Road, Tal.-Khed Dist.-Pune-410501.</t>
        </is>
      </c>
      <c r="F27" s="56" t="inlineStr">
        <is>
          <t xml:space="preserve">Rajkumar </t>
        </is>
      </c>
      <c r="G27" s="56" t="n">
        <v>9156575795</v>
      </c>
      <c r="H27" s="60" t="inlineStr">
        <is>
          <t>Pune</t>
        </is>
      </c>
      <c r="I27" s="60" t="inlineStr">
        <is>
          <t>Maharashtra</t>
        </is>
      </c>
      <c r="J27" s="60" t="n">
        <v>29</v>
      </c>
      <c r="K27" s="60" t="n">
        <v>300</v>
      </c>
      <c r="L27" s="60" t="n">
        <v>300</v>
      </c>
      <c r="M27" s="60" t="inlineStr">
        <is>
          <t>Delivered</t>
        </is>
      </c>
      <c r="N27" s="66" t="n">
        <v>46132</v>
      </c>
      <c r="O27" s="65">
        <f>N27-C27</f>
        <v/>
      </c>
      <c r="P27" s="105" t="n">
        <v>10</v>
      </c>
      <c r="Q27" s="105" t="n">
        <v>6000</v>
      </c>
      <c r="R27" s="63" t="n"/>
      <c r="S27" s="60" t="inlineStr">
        <is>
          <t>Third Party</t>
        </is>
      </c>
      <c r="T27" s="60" t="inlineStr">
        <is>
          <t>rajesh</t>
        </is>
      </c>
      <c r="U27" s="64" t="n">
        <v>4200</v>
      </c>
    </row>
    <row r="28" ht="27.6" customFormat="1" customHeight="1" s="58">
      <c r="A28" s="59" t="n">
        <v>260100070</v>
      </c>
      <c r="B28" s="60" t="n">
        <v>27</v>
      </c>
      <c r="C28" s="66" t="n">
        <v>46133</v>
      </c>
      <c r="D28" s="56" t="inlineStr">
        <is>
          <t>Perfect Cam Profile Pvt Ltd</t>
        </is>
      </c>
      <c r="E28" s="56" t="inlineStr">
        <is>
          <t>Address: Plot No S 55, Bhosari Industrial Estate, Pune - 411026</t>
        </is>
      </c>
      <c r="F28" s="56" t="inlineStr">
        <is>
          <t>Mehul Patel</t>
        </is>
      </c>
      <c r="G28" s="56" t="inlineStr">
        <is>
          <t>9860040965/7436901742</t>
        </is>
      </c>
      <c r="H28" s="60" t="inlineStr">
        <is>
          <t>Pune</t>
        </is>
      </c>
      <c r="I28" s="60" t="inlineStr">
        <is>
          <t>Maharashtra</t>
        </is>
      </c>
      <c r="J28" s="60" t="n">
        <v>90</v>
      </c>
      <c r="K28" s="60" t="n">
        <v>1350</v>
      </c>
      <c r="L28" s="60" t="n">
        <v>1350</v>
      </c>
      <c r="M28" s="60" t="inlineStr">
        <is>
          <t>Delivered</t>
        </is>
      </c>
      <c r="N28" s="66" t="n">
        <v>46132</v>
      </c>
      <c r="O28" s="65" t="n">
        <v>0</v>
      </c>
      <c r="P28" s="105" t="n">
        <v>10</v>
      </c>
      <c r="Q28" s="105" t="n">
        <v>13500</v>
      </c>
      <c r="R28" s="63" t="n"/>
      <c r="S28" s="60" t="n"/>
      <c r="T28" s="60" t="n"/>
      <c r="U28" s="64" t="n"/>
    </row>
    <row r="29" ht="41.4" customFormat="1" customHeight="1" s="58">
      <c r="A29" s="59" t="n">
        <v>260100071</v>
      </c>
      <c r="B29" s="60" t="n">
        <v>28</v>
      </c>
      <c r="C29" s="66" t="n">
        <v>46134</v>
      </c>
      <c r="D29" s="56" t="inlineStr">
        <is>
          <t>THANUSAR ENTERPRISES</t>
        </is>
      </c>
      <c r="E29" s="56" t="inlineStr">
        <is>
          <t>PLOT NO 4/50, ADHAR INDUSTRIAL PREMISES, SECTOR NO 10 MIDC, BHOSARI PUNE</t>
        </is>
      </c>
      <c r="F29" s="56" t="inlineStr">
        <is>
          <t>Vishnu/kiran</t>
        </is>
      </c>
      <c r="G29" s="54" t="inlineStr">
        <is>
          <t>9036230620 / 9003133891</t>
        </is>
      </c>
      <c r="H29" s="60" t="inlineStr">
        <is>
          <t>Pune</t>
        </is>
      </c>
      <c r="I29" s="60" t="inlineStr">
        <is>
          <t>Maharashtra</t>
        </is>
      </c>
      <c r="J29" s="60" t="n">
        <v>5</v>
      </c>
      <c r="K29" s="60" t="n">
        <v>107</v>
      </c>
      <c r="L29" s="60" t="n">
        <v>107</v>
      </c>
      <c r="M29" s="60" t="inlineStr">
        <is>
          <t>Delivered</t>
        </is>
      </c>
      <c r="N29" s="66" t="n">
        <v>46134</v>
      </c>
      <c r="O29" s="65">
        <f>N29-C29</f>
        <v/>
      </c>
      <c r="P29" s="105" t="n">
        <v>10</v>
      </c>
      <c r="Q29" s="105">
        <f>L29*P29</f>
        <v/>
      </c>
      <c r="R29" s="63" t="n"/>
      <c r="S29" s="60" t="n"/>
      <c r="T29" s="60" t="n"/>
      <c r="U29" s="64" t="n"/>
    </row>
    <row r="30" ht="27.6" customFormat="1" customHeight="1" s="58">
      <c r="A30" s="59" t="n">
        <v>260100072</v>
      </c>
      <c r="B30" s="60" t="n">
        <v>29</v>
      </c>
      <c r="C30" s="66" t="n">
        <v>46134</v>
      </c>
      <c r="D30" s="56" t="inlineStr">
        <is>
          <t>PACOLINE INDUSTRIES PRIVATE LIMITED</t>
        </is>
      </c>
      <c r="E30" s="56" t="inlineStr">
        <is>
          <t>21 Hadapsar Indl Estate  Pune 411013</t>
        </is>
      </c>
      <c r="F30" s="56" t="inlineStr">
        <is>
          <t>SOURAV</t>
        </is>
      </c>
      <c r="G30" s="56" t="n">
        <v>9552519571</v>
      </c>
      <c r="H30" s="60" t="inlineStr">
        <is>
          <t>Pune</t>
        </is>
      </c>
      <c r="I30" s="60" t="inlineStr">
        <is>
          <t>Maharashtra</t>
        </is>
      </c>
      <c r="J30" s="60" t="n">
        <v>18</v>
      </c>
      <c r="K30" s="60" t="n">
        <v>360</v>
      </c>
      <c r="L30" s="60" t="n">
        <v>360</v>
      </c>
      <c r="M30" s="60" t="inlineStr">
        <is>
          <t>Delivered</t>
        </is>
      </c>
      <c r="N30" s="66" t="n">
        <v>46134</v>
      </c>
      <c r="O30" s="65">
        <f>N30-C30</f>
        <v/>
      </c>
      <c r="P30" s="105" t="n">
        <v>10</v>
      </c>
      <c r="Q30" s="105" t="n">
        <v>6000</v>
      </c>
      <c r="R30" s="63" t="n"/>
      <c r="S30" s="60" t="n"/>
      <c r="T30" s="60" t="n"/>
      <c r="U30" s="64" t="n"/>
    </row>
    <row r="31" ht="27.6" customFormat="1" customHeight="1" s="58">
      <c r="A31" s="59" t="n">
        <v>260100073</v>
      </c>
      <c r="B31" s="60" t="n">
        <v>30</v>
      </c>
      <c r="C31" s="66" t="n">
        <v>46134</v>
      </c>
      <c r="D31" s="56" t="inlineStr">
        <is>
          <t>TANISHQ PRECISION FASTENERS LLP</t>
        </is>
      </c>
      <c r="E31" s="56" t="inlineStr">
        <is>
          <t>GAT NO – 877, NIGHOJE, TAL -KHED, CHAKAN, PUNE-410501</t>
        </is>
      </c>
      <c r="F31" s="56" t="inlineStr">
        <is>
          <t>Sanjay</t>
        </is>
      </c>
      <c r="G31" s="56" t="n">
        <v>9579951621</v>
      </c>
      <c r="H31" s="60" t="inlineStr">
        <is>
          <t>Pune</t>
        </is>
      </c>
      <c r="I31" s="60" t="inlineStr">
        <is>
          <t>Maharashtra</t>
        </is>
      </c>
      <c r="J31" s="60" t="n">
        <v>21</v>
      </c>
      <c r="K31" s="60" t="n">
        <v>350</v>
      </c>
      <c r="L31" s="60" t="n">
        <v>350</v>
      </c>
      <c r="M31" s="60" t="inlineStr">
        <is>
          <t>Delivered</t>
        </is>
      </c>
      <c r="N31" s="66" t="n">
        <v>46134</v>
      </c>
      <c r="O31" s="65">
        <f>N31-C31</f>
        <v/>
      </c>
      <c r="P31" s="105" t="n">
        <v>10</v>
      </c>
      <c r="Q31" s="105">
        <f>L31*P31</f>
        <v/>
      </c>
      <c r="R31" s="63" t="n"/>
      <c r="S31" s="60" t="n"/>
      <c r="T31" s="60" t="n"/>
      <c r="U31" s="64" t="n"/>
    </row>
    <row r="32" ht="27.6" customFormat="1" customHeight="1" s="58">
      <c r="A32" s="59" t="n">
        <v>260100074</v>
      </c>
      <c r="B32" s="60" t="n">
        <v>31</v>
      </c>
      <c r="C32" s="66" t="n">
        <v>46134</v>
      </c>
      <c r="D32" s="56" t="inlineStr">
        <is>
          <t>FERYEZ POLYMER PVT LTD</t>
        </is>
      </c>
      <c r="E32" s="56" t="inlineStr">
        <is>
          <t>SR.NO.172, CHICHWADGAON, PUNE 411033 MAHARASHTRA</t>
        </is>
      </c>
      <c r="F32" s="56" t="inlineStr">
        <is>
          <t xml:space="preserve">Sandip </t>
        </is>
      </c>
      <c r="G32" s="56" t="n">
        <v>9503161311</v>
      </c>
      <c r="H32" s="60" t="inlineStr">
        <is>
          <t>Pune</t>
        </is>
      </c>
      <c r="I32" s="60" t="inlineStr">
        <is>
          <t>Maharashtra</t>
        </is>
      </c>
      <c r="J32" s="60" t="n">
        <v>38</v>
      </c>
      <c r="K32" s="60" t="n">
        <v>725</v>
      </c>
      <c r="L32" s="60" t="n">
        <v>725</v>
      </c>
      <c r="M32" s="60" t="inlineStr">
        <is>
          <t>Delivered</t>
        </is>
      </c>
      <c r="N32" s="66" t="n">
        <v>46134</v>
      </c>
      <c r="O32" s="65">
        <f>N32-C32</f>
        <v/>
      </c>
      <c r="P32" s="105" t="n">
        <v>10</v>
      </c>
      <c r="Q32" s="105">
        <f>L32*P32</f>
        <v/>
      </c>
      <c r="R32" s="63" t="n"/>
      <c r="S32" s="60" t="n"/>
      <c r="T32" s="60" t="n"/>
      <c r="U32" s="64" t="n"/>
    </row>
    <row r="33" ht="27.6" customFormat="1" customHeight="1" s="58">
      <c r="A33" s="59" t="n">
        <v>260100075</v>
      </c>
      <c r="B33" s="60" t="n">
        <v>32</v>
      </c>
      <c r="C33" s="66" t="inlineStr">
        <is>
          <t>24-042026</t>
        </is>
      </c>
      <c r="D33" s="56" t="inlineStr">
        <is>
          <t>PREMIER SEALS INDIA PRIVATE LTD</t>
        </is>
      </c>
      <c r="E33" s="56" t="inlineStr">
        <is>
          <t>20/8, D-1 BLOCK, MIDC, CHINCHWAD, PUNE MAHARASHTRA 411019</t>
        </is>
      </c>
      <c r="F33" s="56" t="inlineStr">
        <is>
          <t xml:space="preserve">Mita </t>
        </is>
      </c>
      <c r="G33" s="56" t="n">
        <v>8956347535</v>
      </c>
      <c r="H33" s="60" t="inlineStr">
        <is>
          <t>Pune</t>
        </is>
      </c>
      <c r="I33" s="60" t="inlineStr">
        <is>
          <t>Maharashtra</t>
        </is>
      </c>
      <c r="J33" s="60" t="n">
        <v>44</v>
      </c>
      <c r="K33" s="60" t="n">
        <v>218</v>
      </c>
      <c r="L33" s="60" t="n">
        <v>218</v>
      </c>
      <c r="M33" s="60" t="inlineStr">
        <is>
          <t>Delivered</t>
        </is>
      </c>
      <c r="N33" s="66" t="n">
        <v>46136</v>
      </c>
      <c r="O33" s="65" t="n">
        <v>0</v>
      </c>
      <c r="P33" s="105" t="n">
        <v>10</v>
      </c>
      <c r="Q33" s="105">
        <f>L33*P33</f>
        <v/>
      </c>
      <c r="R33" s="63" t="n"/>
      <c r="S33" s="60" t="n"/>
      <c r="T33" s="60" t="n"/>
      <c r="U33" s="64" t="n"/>
    </row>
    <row r="34" ht="27.6" customFormat="1" customHeight="1" s="58">
      <c r="A34" s="59" t="n">
        <v>260100076</v>
      </c>
      <c r="B34" s="60" t="n">
        <v>33</v>
      </c>
      <c r="C34" s="66" t="inlineStr">
        <is>
          <t>24-042026</t>
        </is>
      </c>
      <c r="D34" s="56" t="inlineStr">
        <is>
          <t>PACOLINE INDUSTRIES PRIVATE LIMITED</t>
        </is>
      </c>
      <c r="E34" s="56" t="inlineStr">
        <is>
          <t>21 Hadapsar Indl Estate  Pune 411013</t>
        </is>
      </c>
      <c r="F34" s="56" t="inlineStr">
        <is>
          <t>SOURAV</t>
        </is>
      </c>
      <c r="G34" s="56" t="n">
        <v>9552519571</v>
      </c>
      <c r="H34" s="60" t="inlineStr">
        <is>
          <t>Pune</t>
        </is>
      </c>
      <c r="I34" s="60" t="inlineStr">
        <is>
          <t>Maharashtra</t>
        </is>
      </c>
      <c r="J34" s="60" t="n">
        <v>16</v>
      </c>
      <c r="K34" s="60" t="n">
        <v>180</v>
      </c>
      <c r="L34" s="60" t="n">
        <v>180</v>
      </c>
      <c r="M34" s="60" t="inlineStr">
        <is>
          <t>Delivered</t>
        </is>
      </c>
      <c r="N34" s="66" t="n">
        <v>46136</v>
      </c>
      <c r="O34" s="65" t="n">
        <v>0</v>
      </c>
      <c r="P34" s="105" t="n">
        <v>10</v>
      </c>
      <c r="Q34" s="105" t="n">
        <v>1800</v>
      </c>
      <c r="R34" s="63" t="n"/>
      <c r="S34" s="60" t="inlineStr">
        <is>
          <t>Third Party</t>
        </is>
      </c>
      <c r="T34" s="60" t="inlineStr">
        <is>
          <t>RAJESH</t>
        </is>
      </c>
      <c r="U34" s="64" t="n">
        <v>4000</v>
      </c>
    </row>
    <row r="35" ht="41.4" customFormat="1" customHeight="1" s="58">
      <c r="A35" s="59" t="n">
        <v>260100077</v>
      </c>
      <c r="B35" s="60" t="n">
        <v>34</v>
      </c>
      <c r="C35" s="66" t="n">
        <v>46137</v>
      </c>
      <c r="D35" s="56" t="inlineStr">
        <is>
          <t>NIKY PRECISION ENGINEERS PRIVATE LIMITED</t>
        </is>
      </c>
      <c r="E35" s="56" t="inlineStr">
        <is>
          <t xml:space="preserve"> PLOT NO 15, GALA NO 1, 3, 5, 7, PLOT NO 9, S NO 38/2/18, 16, NARHE, PUNE-411041</t>
        </is>
      </c>
      <c r="F35" s="56" t="inlineStr">
        <is>
          <t>Jeevan</t>
        </is>
      </c>
      <c r="G35" s="56" t="n">
        <v>8446006021</v>
      </c>
      <c r="H35" s="60" t="inlineStr">
        <is>
          <t>Pune</t>
        </is>
      </c>
      <c r="I35" s="60" t="inlineStr">
        <is>
          <t>Maharashtra</t>
        </is>
      </c>
      <c r="J35" s="60" t="n">
        <v>40</v>
      </c>
      <c r="K35" s="60" t="n">
        <v>485</v>
      </c>
      <c r="L35" s="60" t="n">
        <v>485</v>
      </c>
      <c r="M35" s="60" t="inlineStr">
        <is>
          <t>Delivered</t>
        </is>
      </c>
      <c r="N35" s="66" t="n">
        <v>46139</v>
      </c>
      <c r="O35" s="65">
        <f>N35-C35</f>
        <v/>
      </c>
      <c r="P35" s="105" t="n">
        <v>10</v>
      </c>
      <c r="Q35" s="105">
        <f>L35*P35</f>
        <v/>
      </c>
      <c r="R35" s="63" t="n"/>
      <c r="S35" s="60" t="n"/>
      <c r="T35" s="60" t="n"/>
      <c r="U35" s="64" t="n"/>
    </row>
    <row r="36" ht="27.6" customFormat="1" customHeight="1" s="58">
      <c r="A36" s="59" t="n">
        <v>260100078</v>
      </c>
      <c r="B36" s="60" t="n">
        <v>35</v>
      </c>
      <c r="C36" s="66" t="n">
        <v>46139</v>
      </c>
      <c r="D36" s="56" t="inlineStr">
        <is>
          <t>Perfect Cam Profile Pvt Ltd</t>
        </is>
      </c>
      <c r="E36" s="56" t="inlineStr">
        <is>
          <t>Address: Plot No S 55, Bhosari Industrial Estate, Pune - 411026</t>
        </is>
      </c>
      <c r="F36" s="56" t="inlineStr">
        <is>
          <t>Mehul Patel</t>
        </is>
      </c>
      <c r="G36" s="56" t="inlineStr">
        <is>
          <t>9860040965/7436901742</t>
        </is>
      </c>
      <c r="H36" s="60" t="inlineStr">
        <is>
          <t>Pune</t>
        </is>
      </c>
      <c r="I36" s="60" t="inlineStr">
        <is>
          <t>Maharashtra</t>
        </is>
      </c>
      <c r="J36" s="60" t="n">
        <v>90</v>
      </c>
      <c r="K36" s="60" t="n">
        <v>1350</v>
      </c>
      <c r="L36" s="60" t="n">
        <v>1350</v>
      </c>
      <c r="M36" s="60" t="inlineStr">
        <is>
          <t>Delivered</t>
        </is>
      </c>
      <c r="N36" s="66" t="n">
        <v>46139</v>
      </c>
      <c r="O36" s="65" t="n">
        <v>0</v>
      </c>
      <c r="P36" s="105" t="n">
        <v>10</v>
      </c>
      <c r="Q36" s="105" t="n">
        <v>13500</v>
      </c>
      <c r="R36" s="63" t="n"/>
      <c r="S36" s="60" t="n"/>
      <c r="T36" s="60" t="n"/>
      <c r="U36" s="64" t="n"/>
    </row>
    <row r="37" ht="27.6" customFormat="1" customHeight="1" s="58">
      <c r="A37" s="59" t="n">
        <v>260100079</v>
      </c>
      <c r="B37" s="60" t="n">
        <v>36</v>
      </c>
      <c r="C37" s="66" t="n">
        <v>46137</v>
      </c>
      <c r="D37" s="56" t="inlineStr">
        <is>
          <t>PACOLINE INDUSTRIES PRIVATE LIMITED</t>
        </is>
      </c>
      <c r="E37" s="56" t="inlineStr">
        <is>
          <t>21 Hadapsar Indl Estate  Pune 411013</t>
        </is>
      </c>
      <c r="F37" s="56" t="inlineStr">
        <is>
          <t>SOURAV</t>
        </is>
      </c>
      <c r="G37" s="56" t="n">
        <v>9552519571</v>
      </c>
      <c r="H37" s="60" t="inlineStr">
        <is>
          <t>Pune</t>
        </is>
      </c>
      <c r="I37" s="60" t="inlineStr">
        <is>
          <t>Maharashtra</t>
        </is>
      </c>
      <c r="J37" s="60" t="n">
        <v>20</v>
      </c>
      <c r="K37" s="60" t="n">
        <v>245</v>
      </c>
      <c r="L37" s="60" t="n">
        <v>245</v>
      </c>
      <c r="M37" s="60" t="inlineStr">
        <is>
          <t>Delivered</t>
        </is>
      </c>
      <c r="N37" s="66" t="n">
        <v>46139</v>
      </c>
      <c r="O37" s="65">
        <f>N37-C37</f>
        <v/>
      </c>
      <c r="P37" s="105" t="n">
        <v>10</v>
      </c>
      <c r="Q37" s="105" t="n">
        <v>6000</v>
      </c>
      <c r="R37" s="63" t="n"/>
      <c r="S37" s="60" t="inlineStr">
        <is>
          <t>Third party</t>
        </is>
      </c>
      <c r="T37" s="60" t="inlineStr">
        <is>
          <t>rajesh</t>
        </is>
      </c>
      <c r="U37" s="64" t="n">
        <v>4000</v>
      </c>
    </row>
    <row r="38" ht="41.4" customFormat="1" customHeight="1" s="58">
      <c r="A38" s="59" t="n">
        <v>260100080</v>
      </c>
      <c r="B38" s="60" t="n">
        <v>37</v>
      </c>
      <c r="C38" s="66" t="n">
        <v>46137</v>
      </c>
      <c r="D38" s="56" t="inlineStr">
        <is>
          <t>NIKY PRECISION(MULAY POLYMERS PVT. LTD.)</t>
        </is>
      </c>
      <c r="E38" s="56" t="inlineStr">
        <is>
          <t>Gat No 679/2/1 Plot No. 30/6, Chakan Alandi Road, Tal.-Khed Dist.-Pune-410501.</t>
        </is>
      </c>
      <c r="F38" s="56" t="inlineStr">
        <is>
          <t xml:space="preserve">Rajkumar </t>
        </is>
      </c>
      <c r="G38" s="56" t="n">
        <v>9156575795</v>
      </c>
      <c r="H38" s="60" t="inlineStr">
        <is>
          <t>Pune</t>
        </is>
      </c>
      <c r="I38" s="60" t="inlineStr">
        <is>
          <t>Maharashtra</t>
        </is>
      </c>
      <c r="J38" s="60" t="n">
        <v>10</v>
      </c>
      <c r="K38" s="60" t="n">
        <v>83</v>
      </c>
      <c r="L38" s="60" t="n">
        <v>83</v>
      </c>
      <c r="M38" s="60" t="inlineStr">
        <is>
          <t>Delivered</t>
        </is>
      </c>
      <c r="N38" s="66" t="n">
        <v>46139</v>
      </c>
      <c r="O38" s="65">
        <f>N38-C38</f>
        <v/>
      </c>
      <c r="P38" s="105" t="n">
        <v>10</v>
      </c>
      <c r="Q38" s="105">
        <f>L38*P38</f>
        <v/>
      </c>
      <c r="R38" s="63" t="n"/>
      <c r="S38" s="60" t="n"/>
      <c r="T38" s="60" t="n"/>
      <c r="U38" s="64" t="n"/>
    </row>
    <row r="39" ht="14.4" customFormat="1" customHeight="1" s="58">
      <c r="A39" s="59" t="n"/>
      <c r="B39" s="60" t="n">
        <v>38</v>
      </c>
      <c r="C39" s="66" t="n">
        <v>46139</v>
      </c>
      <c r="D39" s="56" t="inlineStr">
        <is>
          <t>KARAD</t>
        </is>
      </c>
      <c r="E39" s="56" t="inlineStr">
        <is>
          <t>KARAD</t>
        </is>
      </c>
      <c r="F39" s="56" t="inlineStr">
        <is>
          <t>DOOR</t>
        </is>
      </c>
      <c r="G39" s="56" t="n">
        <v>9359108776</v>
      </c>
      <c r="H39" s="60" t="inlineStr">
        <is>
          <t>Pune</t>
        </is>
      </c>
      <c r="I39" s="60" t="inlineStr">
        <is>
          <t>Maharashtra</t>
        </is>
      </c>
      <c r="J39" s="60" t="n">
        <v>3</v>
      </c>
      <c r="K39" s="60" t="n">
        <v>220</v>
      </c>
      <c r="L39" s="60" t="n">
        <v>220</v>
      </c>
      <c r="M39" s="60" t="inlineStr">
        <is>
          <t>Delivered</t>
        </is>
      </c>
      <c r="N39" s="66" t="n">
        <v>46139</v>
      </c>
      <c r="O39" s="65" t="n">
        <v>0</v>
      </c>
      <c r="P39" s="105" t="n">
        <v>10</v>
      </c>
      <c r="Q39" s="105" t="n">
        <v>6000</v>
      </c>
      <c r="R39" s="63" t="n"/>
      <c r="S39" s="60" t="inlineStr">
        <is>
          <t>Third party</t>
        </is>
      </c>
      <c r="T39" s="60" t="inlineStr">
        <is>
          <t>CARGOLING</t>
        </is>
      </c>
      <c r="U39" s="64" t="n"/>
    </row>
    <row r="40" ht="27.6" customFormat="1" customHeight="1" s="58">
      <c r="A40" s="59" t="n">
        <v>260100081</v>
      </c>
      <c r="B40" s="60" t="n">
        <v>39</v>
      </c>
      <c r="C40" s="66" t="n">
        <v>46140</v>
      </c>
      <c r="D40" s="56" t="inlineStr">
        <is>
          <t>FERYEZ POLYMER PVT LTD</t>
        </is>
      </c>
      <c r="E40" s="56" t="inlineStr">
        <is>
          <t>SR.NO.172, CHICHWADGAON, PUNE 411033 MAHARASHTRA</t>
        </is>
      </c>
      <c r="F40" s="56" t="inlineStr">
        <is>
          <t xml:space="preserve">Sandip </t>
        </is>
      </c>
      <c r="G40" s="56" t="n">
        <v>9503161311</v>
      </c>
      <c r="H40" s="60" t="inlineStr">
        <is>
          <t>Pune</t>
        </is>
      </c>
      <c r="I40" s="60" t="inlineStr">
        <is>
          <t>Maharashtra</t>
        </is>
      </c>
      <c r="J40" s="60" t="n">
        <v>25</v>
      </c>
      <c r="K40" s="60" t="n">
        <v>513</v>
      </c>
      <c r="L40" s="60" t="n">
        <v>513</v>
      </c>
      <c r="M40" s="60" t="inlineStr">
        <is>
          <t>Delivered</t>
        </is>
      </c>
      <c r="N40" s="66" t="n">
        <v>46140</v>
      </c>
      <c r="O40" s="65">
        <f>N40-C40</f>
        <v/>
      </c>
      <c r="P40" s="105" t="n">
        <v>10</v>
      </c>
      <c r="Q40" s="105">
        <f>L40*P40</f>
        <v/>
      </c>
      <c r="R40" s="63" t="n"/>
      <c r="S40" s="60" t="n"/>
      <c r="T40" s="60" t="n"/>
      <c r="U40" s="64" t="n"/>
    </row>
    <row r="41" ht="41.4" customFormat="1" customHeight="1" s="58">
      <c r="A41" s="59" t="n">
        <v>260100082</v>
      </c>
      <c r="B41" s="60" t="n">
        <v>40</v>
      </c>
      <c r="C41" s="66" t="n">
        <v>46140</v>
      </c>
      <c r="D41" s="56" t="inlineStr">
        <is>
          <t>NIKY PRECISION(MULAY POLYMERS PVT. LTD.)</t>
        </is>
      </c>
      <c r="E41" s="56" t="inlineStr">
        <is>
          <t>Gat No 679/2/1 Plot No. 30/6, Chakan Alandi Road, Tal.-Khed Dist.-Pune-410501.</t>
        </is>
      </c>
      <c r="F41" s="56" t="inlineStr">
        <is>
          <t xml:space="preserve">Rajkumar </t>
        </is>
      </c>
      <c r="G41" s="56" t="n">
        <v>9156575795</v>
      </c>
      <c r="H41" s="60" t="inlineStr">
        <is>
          <t>Pune</t>
        </is>
      </c>
      <c r="I41" s="60" t="inlineStr">
        <is>
          <t>Maharashtra</t>
        </is>
      </c>
      <c r="J41" s="60" t="n">
        <v>16</v>
      </c>
      <c r="K41" s="60" t="n">
        <v>148</v>
      </c>
      <c r="L41" s="60" t="n">
        <v>148</v>
      </c>
      <c r="M41" s="60" t="inlineStr">
        <is>
          <t>Delivered</t>
        </is>
      </c>
      <c r="N41" s="66" t="n">
        <v>46140</v>
      </c>
      <c r="O41" s="65">
        <f>N41-C41</f>
        <v/>
      </c>
      <c r="P41" s="105" t="n">
        <v>10</v>
      </c>
      <c r="Q41" s="105">
        <f>L41*P41</f>
        <v/>
      </c>
      <c r="R41" s="63" t="n"/>
      <c r="S41" s="60" t="n"/>
      <c r="T41" s="60" t="n"/>
      <c r="U41" s="64" t="n"/>
    </row>
    <row r="42" ht="27.6" customFormat="1" customHeight="1" s="58">
      <c r="A42" s="59" t="n">
        <v>260100083</v>
      </c>
      <c r="B42" s="60" t="n">
        <v>41</v>
      </c>
      <c r="C42" s="66" t="n">
        <v>46141</v>
      </c>
      <c r="D42" s="56" t="inlineStr">
        <is>
          <t>PACOLINE INDUSTRIES PRIVATE LIMITED</t>
        </is>
      </c>
      <c r="E42" s="56" t="inlineStr">
        <is>
          <t>21 Hadapsar Indl Estate  Pune 411013</t>
        </is>
      </c>
      <c r="F42" s="56" t="inlineStr">
        <is>
          <t>SOURAV</t>
        </is>
      </c>
      <c r="G42" s="56" t="n">
        <v>9552519571</v>
      </c>
      <c r="H42" s="60" t="inlineStr">
        <is>
          <t>Pune</t>
        </is>
      </c>
      <c r="I42" s="60" t="inlineStr">
        <is>
          <t>Maharashtra</t>
        </is>
      </c>
      <c r="J42" s="60" t="n">
        <v>29</v>
      </c>
      <c r="K42" s="60" t="n">
        <v>333</v>
      </c>
      <c r="L42" s="60" t="n">
        <v>333</v>
      </c>
      <c r="M42" s="60" t="inlineStr">
        <is>
          <t>Delivered</t>
        </is>
      </c>
      <c r="N42" s="66" t="n">
        <v>46142</v>
      </c>
      <c r="O42" s="65">
        <f>N42-C42</f>
        <v/>
      </c>
      <c r="P42" s="105" t="n">
        <v>10</v>
      </c>
      <c r="Q42" s="105">
        <f>L42*P42</f>
        <v/>
      </c>
      <c r="R42" s="63" t="n"/>
      <c r="S42" s="60" t="n"/>
      <c r="T42" s="60" t="n"/>
      <c r="U42" s="64" t="n"/>
    </row>
    <row r="43" ht="27.6" customFormat="1" customHeight="1" s="58">
      <c r="A43" s="59" t="n">
        <v>260100084</v>
      </c>
      <c r="B43" s="60" t="n">
        <v>42</v>
      </c>
      <c r="C43" s="66" t="n">
        <v>46139</v>
      </c>
      <c r="D43" s="56" t="inlineStr">
        <is>
          <t>Trimurti Enterprises</t>
        </is>
      </c>
      <c r="E43" s="56" t="inlineStr">
        <is>
          <t>D-143, Five Star, MIDC Shendra, Chatrapati Sambhaji Nagar</t>
        </is>
      </c>
      <c r="F43" s="56" t="inlineStr">
        <is>
          <t>RAVI SIR</t>
        </is>
      </c>
      <c r="G43" s="56" t="n">
        <v>9075094520</v>
      </c>
      <c r="H43" s="60" t="inlineStr">
        <is>
          <t>Sambhaji nagar</t>
        </is>
      </c>
      <c r="I43" s="60" t="inlineStr">
        <is>
          <t>Maharashtra</t>
        </is>
      </c>
      <c r="J43" s="60" t="n">
        <v>70</v>
      </c>
      <c r="K43" s="60" t="n">
        <v>1322</v>
      </c>
      <c r="L43" s="60" t="n">
        <v>1322</v>
      </c>
      <c r="M43" s="60" t="inlineStr">
        <is>
          <t>Delivered</t>
        </is>
      </c>
      <c r="N43" s="66" t="n">
        <v>46140</v>
      </c>
      <c r="O43" s="65">
        <f>N43-C43</f>
        <v/>
      </c>
      <c r="P43" s="105" t="n">
        <v>10</v>
      </c>
      <c r="Q43" s="105" t="n">
        <v>16000</v>
      </c>
      <c r="R43" s="63" t="n"/>
      <c r="S43" s="60" t="inlineStr">
        <is>
          <t>Third party</t>
        </is>
      </c>
      <c r="T43" s="60" t="n"/>
      <c r="U43" s="64" t="n">
        <v>6000</v>
      </c>
    </row>
    <row r="44" customFormat="1" s="58">
      <c r="A44" s="56" t="n"/>
      <c r="B44" s="60" t="n"/>
      <c r="C44" s="66" t="n"/>
      <c r="D44" s="56" t="n"/>
      <c r="E44" s="56" t="n"/>
      <c r="F44" s="56" t="n"/>
      <c r="G44" s="56" t="n"/>
      <c r="H44" s="60" t="n"/>
      <c r="I44" s="60" t="n"/>
      <c r="J44" s="60" t="n"/>
      <c r="K44" s="60" t="n"/>
      <c r="L44" s="60" t="n"/>
      <c r="M44" s="60" t="n"/>
      <c r="N44" s="66" t="n"/>
      <c r="O44" s="65">
        <f>N44-C44</f>
        <v/>
      </c>
      <c r="P44" s="105" t="n">
        <v>10</v>
      </c>
      <c r="Q44" s="105">
        <f>L44*P44</f>
        <v/>
      </c>
      <c r="R44" s="63" t="n"/>
      <c r="S44" s="60" t="n"/>
      <c r="T44" s="60" t="n"/>
      <c r="U44" s="64" t="n"/>
    </row>
    <row r="45" ht="14.4" customFormat="1" customHeight="1" s="58">
      <c r="A45" s="59" t="n"/>
      <c r="B45" s="60" t="n"/>
      <c r="C45" s="66" t="n"/>
      <c r="D45" s="56" t="n"/>
      <c r="E45" s="56" t="n"/>
      <c r="F45" s="56" t="n"/>
      <c r="G45" s="56" t="n"/>
      <c r="H45" s="60" t="n"/>
      <c r="I45" s="60" t="n"/>
      <c r="J45" s="60" t="n"/>
      <c r="K45" s="60" t="n"/>
      <c r="L45" s="60" t="n"/>
      <c r="M45" s="60" t="n"/>
      <c r="N45" s="66" t="n"/>
      <c r="O45" s="65">
        <f>N45-C45</f>
        <v/>
      </c>
      <c r="P45" s="105" t="n">
        <v>10</v>
      </c>
      <c r="Q45" s="105">
        <f>L45*P45</f>
        <v/>
      </c>
      <c r="R45" s="63" t="n"/>
      <c r="S45" s="60" t="n"/>
      <c r="T45" s="60" t="n"/>
      <c r="U45" s="64" t="n"/>
    </row>
    <row r="46" ht="14.4" customFormat="1" customHeight="1" s="58">
      <c r="A46" s="59" t="n"/>
      <c r="B46" s="60" t="n"/>
      <c r="C46" s="66" t="n"/>
      <c r="D46" s="56" t="n"/>
      <c r="E46" s="56" t="n"/>
      <c r="F46" s="56" t="n"/>
      <c r="G46" s="56" t="n"/>
      <c r="H46" s="60" t="n"/>
      <c r="I46" s="60" t="n"/>
      <c r="J46" s="60" t="n"/>
      <c r="K46" s="60" t="n"/>
      <c r="L46" s="60" t="n"/>
      <c r="M46" s="60" t="n"/>
      <c r="N46" s="66" t="n"/>
      <c r="O46" s="65">
        <f>N46-C46</f>
        <v/>
      </c>
      <c r="P46" s="105" t="n">
        <v>10</v>
      </c>
      <c r="Q46" s="105">
        <f>L46*P46</f>
        <v/>
      </c>
      <c r="R46" s="63" t="n"/>
      <c r="S46" s="60" t="n"/>
      <c r="T46" s="60" t="n"/>
      <c r="U46" s="64" t="n"/>
    </row>
    <row r="47" ht="14.4" customFormat="1" customHeight="1" s="58">
      <c r="A47" s="59" t="n"/>
      <c r="B47" s="60" t="n"/>
      <c r="C47" s="66" t="n"/>
      <c r="D47" s="56" t="n"/>
      <c r="E47" s="56" t="n"/>
      <c r="F47" s="56" t="n"/>
      <c r="G47" s="56" t="n"/>
      <c r="H47" s="60" t="n"/>
      <c r="I47" s="60" t="n"/>
      <c r="J47" s="60" t="n"/>
      <c r="K47" s="60" t="n"/>
      <c r="L47" s="60" t="n"/>
      <c r="M47" s="60" t="n"/>
      <c r="N47" s="66" t="n"/>
      <c r="O47" s="65">
        <f>N47-C47</f>
        <v/>
      </c>
      <c r="P47" s="105" t="n">
        <v>10</v>
      </c>
      <c r="Q47" s="105">
        <f>L47*P47</f>
        <v/>
      </c>
      <c r="R47" s="63" t="n"/>
      <c r="S47" s="60" t="n"/>
      <c r="T47" s="60" t="n"/>
      <c r="U47" s="64" t="n"/>
    </row>
    <row r="48" ht="14.4" customFormat="1" customHeight="1" s="58">
      <c r="A48" s="59" t="n"/>
      <c r="B48" s="60" t="n"/>
      <c r="C48" s="66" t="n"/>
      <c r="D48" s="56" t="n"/>
      <c r="E48" s="56" t="n"/>
      <c r="F48" s="56" t="n"/>
      <c r="G48" s="56" t="n"/>
      <c r="H48" s="60" t="n"/>
      <c r="I48" s="60" t="n"/>
      <c r="J48" s="60" t="n"/>
      <c r="K48" s="60" t="n"/>
      <c r="L48" s="60" t="n"/>
      <c r="M48" s="60" t="n"/>
      <c r="N48" s="66" t="n"/>
      <c r="O48" s="65">
        <f>N48-C48</f>
        <v/>
      </c>
      <c r="P48" s="105" t="n">
        <v>10</v>
      </c>
      <c r="Q48" s="105">
        <f>L48*P48</f>
        <v/>
      </c>
      <c r="R48" s="63" t="n"/>
      <c r="S48" s="60" t="n"/>
      <c r="T48" s="60" t="n"/>
      <c r="U48" s="64" t="n"/>
    </row>
    <row r="49" ht="14.4" customFormat="1" customHeight="1" s="58">
      <c r="A49" s="59" t="n"/>
      <c r="B49" s="60" t="n"/>
      <c r="C49" s="66" t="n"/>
      <c r="D49" s="56" t="n"/>
      <c r="E49" s="56" t="n"/>
      <c r="F49" s="56" t="inlineStr">
        <is>
          <t>FLAT NO</t>
        </is>
      </c>
      <c r="G49" s="56" t="inlineStr">
        <is>
          <t>LIGHT BILL</t>
        </is>
      </c>
      <c r="H49" s="60" t="inlineStr">
        <is>
          <t>PAID</t>
        </is>
      </c>
      <c r="I49" s="60" t="inlineStr">
        <is>
          <t>PENDING</t>
        </is>
      </c>
      <c r="J49" s="60" t="n"/>
      <c r="K49" s="60" t="n"/>
      <c r="L49" s="60" t="n"/>
      <c r="M49" s="60" t="n"/>
      <c r="N49" s="66" t="n"/>
      <c r="O49" s="65">
        <f>N49-C49</f>
        <v/>
      </c>
      <c r="P49" s="105" t="n">
        <v>10</v>
      </c>
      <c r="Q49" s="105">
        <f>L49*P49</f>
        <v/>
      </c>
      <c r="R49" s="63" t="n"/>
      <c r="S49" s="60" t="n"/>
      <c r="T49" s="60" t="n"/>
      <c r="U49" s="64" t="n"/>
    </row>
    <row r="50" ht="14.4" customFormat="1" customHeight="1" s="58">
      <c r="A50" s="59" t="n"/>
      <c r="B50" s="60" t="n"/>
      <c r="C50" s="66" t="n"/>
      <c r="D50" s="56" t="n"/>
      <c r="E50" s="56" t="n"/>
      <c r="F50" s="56" t="n">
        <v>101</v>
      </c>
      <c r="G50" s="56" t="n">
        <v>3730</v>
      </c>
      <c r="H50" s="60" t="n"/>
      <c r="I50" s="60" t="inlineStr">
        <is>
          <t>PAID</t>
        </is>
      </c>
      <c r="J50" s="60" t="inlineStr">
        <is>
          <t>GP</t>
        </is>
      </c>
      <c r="K50" s="60" t="n">
        <v>4</v>
      </c>
      <c r="L50" s="60" t="n"/>
      <c r="M50" s="60" t="n"/>
      <c r="N50" s="66" t="n"/>
      <c r="O50" s="65">
        <f>N50-C50</f>
        <v/>
      </c>
      <c r="P50" s="105" t="n">
        <v>10</v>
      </c>
      <c r="Q50" s="105">
        <f>L50*P50</f>
        <v/>
      </c>
      <c r="R50" s="63" t="n"/>
      <c r="S50" s="60" t="n"/>
      <c r="T50" s="60" t="n"/>
      <c r="U50" s="64" t="n"/>
    </row>
    <row r="51" ht="14.4" customFormat="1" customHeight="1" s="58">
      <c r="A51" s="59" t="n"/>
      <c r="B51" s="60" t="n"/>
      <c r="C51" s="66" t="n"/>
      <c r="D51" s="56" t="n"/>
      <c r="E51" s="56" t="n"/>
      <c r="F51" s="56" t="n">
        <v>102</v>
      </c>
      <c r="G51" s="54" t="n">
        <v>3170</v>
      </c>
      <c r="H51" s="60" t="n"/>
      <c r="I51" s="60" t="inlineStr">
        <is>
          <t>PAID</t>
        </is>
      </c>
      <c r="J51" s="60" t="inlineStr">
        <is>
          <t>paid</t>
        </is>
      </c>
      <c r="K51" s="60" t="n">
        <v>5</v>
      </c>
      <c r="L51" s="60" t="n"/>
      <c r="M51" s="60" t="n"/>
      <c r="N51" s="66" t="n"/>
      <c r="O51" s="65">
        <f>N51-C51</f>
        <v/>
      </c>
      <c r="P51" s="105" t="n">
        <v>10</v>
      </c>
      <c r="Q51" s="105">
        <f>L51*P51</f>
        <v/>
      </c>
      <c r="R51" s="63" t="n"/>
      <c r="S51" s="60" t="n"/>
      <c r="T51" s="60" t="n"/>
      <c r="U51" s="64" t="n"/>
    </row>
    <row r="52" ht="14.4" customFormat="1" customHeight="1" s="58">
      <c r="A52" s="59" t="n"/>
      <c r="B52" s="60" t="n"/>
      <c r="C52" s="66" t="n"/>
      <c r="D52" s="56" t="n"/>
      <c r="E52" s="56" t="n"/>
      <c r="F52" s="56" t="n">
        <v>201</v>
      </c>
      <c r="G52" s="56" t="n">
        <v>2258</v>
      </c>
      <c r="H52" s="60" t="n">
        <v>2058</v>
      </c>
      <c r="I52" s="60" t="n"/>
      <c r="J52" s="60" t="inlineStr">
        <is>
          <t>GP</t>
        </is>
      </c>
      <c r="K52" s="60" t="n">
        <v>13</v>
      </c>
      <c r="L52" s="60" t="n"/>
      <c r="M52" s="60" t="n"/>
      <c r="N52" s="66" t="n"/>
      <c r="O52" s="65">
        <f>N52-C52</f>
        <v/>
      </c>
      <c r="P52" s="105" t="n">
        <v>10</v>
      </c>
      <c r="Q52" s="105">
        <f>L52*P52</f>
        <v/>
      </c>
      <c r="R52" s="63" t="n"/>
      <c r="S52" s="60" t="n"/>
      <c r="T52" s="60" t="n"/>
      <c r="U52" s="64" t="n"/>
    </row>
    <row r="53" ht="14.4" customFormat="1" customHeight="1" s="58">
      <c r="A53" s="59" t="n"/>
      <c r="B53" s="60" t="n"/>
      <c r="C53" s="66" t="n"/>
      <c r="D53" s="56" t="n"/>
      <c r="E53" s="56" t="n"/>
      <c r="F53" s="56" t="n">
        <v>202</v>
      </c>
      <c r="G53" s="54" t="n">
        <v>2786</v>
      </c>
      <c r="H53" s="60" t="n"/>
      <c r="I53" s="60" t="inlineStr">
        <is>
          <t>PAID</t>
        </is>
      </c>
      <c r="J53" s="60" t="inlineStr">
        <is>
          <t>PP</t>
        </is>
      </c>
      <c r="K53" s="60" t="n">
        <v>12</v>
      </c>
      <c r="L53" s="60" t="n"/>
      <c r="M53" s="60" t="n"/>
      <c r="N53" s="66" t="n"/>
      <c r="O53" s="65">
        <f>N53-C53</f>
        <v/>
      </c>
      <c r="P53" s="105" t="n">
        <v>10</v>
      </c>
      <c r="Q53" s="105">
        <f>L53*P53</f>
        <v/>
      </c>
      <c r="R53" s="63" t="n"/>
      <c r="S53" s="60" t="n"/>
      <c r="T53" s="60" t="n"/>
      <c r="U53" s="64" t="n"/>
    </row>
    <row r="54" ht="14.4" customFormat="1" customHeight="1" s="58">
      <c r="A54" s="59" t="n"/>
      <c r="B54" s="60" t="n"/>
      <c r="C54" s="66" t="n"/>
      <c r="D54" s="56" t="n"/>
      <c r="E54" s="56" t="n"/>
      <c r="F54" s="56" t="n">
        <v>203</v>
      </c>
      <c r="G54" s="56" t="n">
        <v>2418</v>
      </c>
      <c r="H54" s="60" t="n"/>
      <c r="I54" s="60" t="inlineStr">
        <is>
          <t>PAID</t>
        </is>
      </c>
      <c r="J54" s="60" t="inlineStr">
        <is>
          <t>PP</t>
        </is>
      </c>
      <c r="K54" s="60" t="n">
        <v>2</v>
      </c>
      <c r="L54" s="60" t="n"/>
      <c r="M54" s="60" t="n"/>
      <c r="N54" s="66" t="n"/>
      <c r="O54" s="65">
        <f>N54-C54</f>
        <v/>
      </c>
      <c r="P54" s="105" t="n">
        <v>10</v>
      </c>
      <c r="Q54" s="105">
        <f>L54*P54</f>
        <v/>
      </c>
      <c r="R54" s="63" t="n"/>
      <c r="S54" s="60" t="n"/>
      <c r="T54" s="60" t="n"/>
      <c r="U54" s="64" t="n"/>
    </row>
    <row r="55" ht="14.4" customFormat="1" customHeight="1" s="58">
      <c r="A55" s="59" t="n"/>
      <c r="B55" s="60" t="n"/>
      <c r="C55" s="66" t="n"/>
      <c r="D55" s="56" t="n"/>
      <c r="E55" s="56" t="n"/>
      <c r="F55" s="56" t="n">
        <v>204</v>
      </c>
      <c r="G55" s="56" t="n">
        <v>2946</v>
      </c>
      <c r="H55" s="60" t="n"/>
      <c r="I55" s="60" t="inlineStr">
        <is>
          <t>PAID</t>
        </is>
      </c>
      <c r="J55" s="60" t="inlineStr">
        <is>
          <t>pp</t>
        </is>
      </c>
      <c r="K55" s="60" t="n">
        <v>1</v>
      </c>
      <c r="L55" s="60" t="n"/>
      <c r="M55" s="60" t="n"/>
      <c r="N55" s="66" t="n"/>
      <c r="O55" s="65">
        <f>N55-C55</f>
        <v/>
      </c>
      <c r="P55" s="105" t="n">
        <v>10</v>
      </c>
      <c r="Q55" s="105">
        <f>L55*P55</f>
        <v/>
      </c>
      <c r="R55" s="63" t="n"/>
      <c r="S55" s="60" t="n"/>
      <c r="T55" s="60" t="n"/>
      <c r="U55" s="64" t="n"/>
    </row>
    <row r="56" ht="14.4" customFormat="1" customHeight="1" s="58">
      <c r="A56" s="59" t="n"/>
      <c r="B56" s="60" t="n"/>
      <c r="C56" s="66" t="n"/>
      <c r="D56" s="56" t="n"/>
      <c r="E56" s="56" t="n"/>
      <c r="F56" s="56" t="n">
        <v>301</v>
      </c>
      <c r="G56" s="56" t="n">
        <v>2738</v>
      </c>
      <c r="H56" s="60" t="n"/>
      <c r="I56" s="60" t="inlineStr">
        <is>
          <t>PAID</t>
        </is>
      </c>
      <c r="J56" s="60" t="inlineStr">
        <is>
          <t>PP</t>
        </is>
      </c>
      <c r="K56" s="60" t="n">
        <v>11</v>
      </c>
      <c r="L56" s="60" t="n"/>
      <c r="M56" s="60" t="n"/>
      <c r="N56" s="66" t="n"/>
      <c r="O56" s="65">
        <f>N56-C56</f>
        <v/>
      </c>
      <c r="P56" s="105" t="n">
        <v>10</v>
      </c>
      <c r="Q56" s="105">
        <f>L56*P56</f>
        <v/>
      </c>
      <c r="R56" s="63" t="n"/>
      <c r="S56" s="60" t="n"/>
      <c r="T56" s="60" t="n"/>
      <c r="U56" s="64" t="n"/>
    </row>
    <row r="57" ht="14.4" customFormat="1" customHeight="1" s="58">
      <c r="A57" s="59" t="n"/>
      <c r="B57" s="60" t="n"/>
      <c r="C57" s="66" t="n"/>
      <c r="D57" s="56" t="n"/>
      <c r="E57" s="56" t="n"/>
      <c r="F57" s="56" t="n">
        <v>302</v>
      </c>
      <c r="G57" s="54" t="n">
        <v>2306</v>
      </c>
      <c r="H57" s="60" t="inlineStr">
        <is>
          <t>nitin sir</t>
        </is>
      </c>
      <c r="I57" s="60" t="inlineStr">
        <is>
          <t>PAID</t>
        </is>
      </c>
      <c r="J57" s="60" t="inlineStr">
        <is>
          <t>GP</t>
        </is>
      </c>
      <c r="K57" s="60" t="n">
        <v>9</v>
      </c>
      <c r="L57" s="60" t="n"/>
      <c r="M57" s="60" t="n"/>
      <c r="N57" s="66" t="n"/>
      <c r="O57" s="65">
        <f>N57-C57</f>
        <v/>
      </c>
      <c r="P57" s="105" t="n">
        <v>10</v>
      </c>
      <c r="Q57" s="105">
        <f>L57*P57</f>
        <v/>
      </c>
      <c r="R57" s="63" t="n"/>
      <c r="S57" s="60" t="n"/>
      <c r="T57" s="60" t="n"/>
      <c r="U57" s="64" t="n"/>
    </row>
    <row r="58" ht="14.4" customFormat="1" customHeight="1" s="58">
      <c r="A58" s="59" t="n"/>
      <c r="B58" s="60" t="n"/>
      <c r="C58" s="66" t="n"/>
      <c r="D58" s="56" t="n"/>
      <c r="E58" s="56" t="n"/>
      <c r="F58" s="56" t="n">
        <v>303</v>
      </c>
      <c r="G58" s="56" t="n">
        <v>3282</v>
      </c>
      <c r="H58" s="60" t="n"/>
      <c r="I58" s="60" t="inlineStr">
        <is>
          <t>PAID</t>
        </is>
      </c>
      <c r="J58" s="60" t="inlineStr">
        <is>
          <t>GP</t>
        </is>
      </c>
      <c r="K58" s="60" t="n">
        <v>6</v>
      </c>
      <c r="L58" s="60" t="n"/>
      <c r="M58" s="60" t="n"/>
      <c r="N58" s="66" t="n"/>
      <c r="O58" s="65">
        <f>N58-C58</f>
        <v/>
      </c>
      <c r="P58" s="105" t="n">
        <v>10</v>
      </c>
      <c r="Q58" s="105">
        <f>L58*P58</f>
        <v/>
      </c>
      <c r="R58" s="63" t="n"/>
      <c r="S58" s="60" t="n"/>
      <c r="T58" s="60" t="n"/>
      <c r="U58" s="64" t="n"/>
    </row>
    <row r="59" ht="14.4" customFormat="1" customHeight="1" s="58">
      <c r="A59" s="59" t="n"/>
      <c r="B59" s="60" t="n"/>
      <c r="C59" s="66" t="n"/>
      <c r="D59" s="56" t="n"/>
      <c r="E59" s="56" t="n"/>
      <c r="F59" s="56" t="n">
        <v>304</v>
      </c>
      <c r="G59" s="56" t="n">
        <v>2290</v>
      </c>
      <c r="H59" s="60" t="n"/>
      <c r="I59" s="60" t="inlineStr">
        <is>
          <t>PAID</t>
        </is>
      </c>
      <c r="J59" s="60" t="inlineStr">
        <is>
          <t>PP</t>
        </is>
      </c>
      <c r="K59" s="60" t="n">
        <v>7</v>
      </c>
      <c r="L59" s="60" t="n"/>
      <c r="M59" s="60" t="n"/>
      <c r="N59" s="66" t="n"/>
      <c r="O59" s="65" t="n"/>
      <c r="P59" s="105" t="n"/>
      <c r="Q59" s="105" t="n"/>
      <c r="R59" s="63" t="n"/>
      <c r="S59" s="60" t="n"/>
      <c r="T59" s="60" t="n"/>
      <c r="U59" s="64" t="n"/>
    </row>
    <row r="60" ht="14.4" customFormat="1" customHeight="1" s="58">
      <c r="A60" s="59" t="n"/>
      <c r="B60" s="60" t="n"/>
      <c r="C60" s="66" t="n"/>
      <c r="D60" s="56" t="n"/>
      <c r="E60" s="56" t="n"/>
      <c r="F60" s="56" t="n">
        <v>401</v>
      </c>
      <c r="G60" s="56" t="n">
        <v>2210</v>
      </c>
      <c r="H60" s="60" t="inlineStr">
        <is>
          <t>nitin sir</t>
        </is>
      </c>
      <c r="I60" s="60" t="inlineStr">
        <is>
          <t>PAID</t>
        </is>
      </c>
      <c r="J60" s="60" t="inlineStr">
        <is>
          <t>GP</t>
        </is>
      </c>
      <c r="K60" s="60" t="n">
        <v>8</v>
      </c>
      <c r="L60" s="60" t="n"/>
      <c r="M60" s="60" t="n"/>
      <c r="N60" s="66" t="n"/>
      <c r="O60" s="65" t="n"/>
      <c r="P60" s="105" t="n"/>
      <c r="Q60" s="105" t="n"/>
      <c r="R60" s="63" t="n"/>
      <c r="S60" s="60" t="n"/>
      <c r="T60" s="60" t="n"/>
      <c r="U60" s="64" t="n"/>
    </row>
    <row r="61" customFormat="1" s="58">
      <c r="A61" s="56" t="n"/>
      <c r="B61" s="60" t="n"/>
      <c r="C61" s="66" t="n"/>
      <c r="D61" s="56" t="n"/>
      <c r="E61" s="56" t="n"/>
      <c r="F61" s="56" t="n">
        <v>402</v>
      </c>
      <c r="G61" s="56" t="n">
        <v>3394</v>
      </c>
      <c r="H61" s="60" t="n"/>
      <c r="I61" s="60" t="inlineStr">
        <is>
          <t>PAID</t>
        </is>
      </c>
      <c r="J61" s="60" t="inlineStr">
        <is>
          <t>pp</t>
        </is>
      </c>
      <c r="K61" s="60" t="n">
        <v>3</v>
      </c>
      <c r="L61" s="60" t="n"/>
      <c r="M61" s="60" t="n"/>
      <c r="N61" s="66" t="n"/>
      <c r="O61" s="65" t="n"/>
      <c r="P61" s="105" t="n"/>
      <c r="Q61" s="105" t="n"/>
      <c r="R61" s="63" t="n"/>
      <c r="S61" s="60" t="n"/>
      <c r="T61" s="60" t="n"/>
      <c r="U61" s="64" t="n"/>
    </row>
    <row r="62" customFormat="1" s="58">
      <c r="A62" s="56" t="n"/>
      <c r="B62" s="60" t="n"/>
      <c r="C62" s="67" t="n"/>
      <c r="D62" s="68" t="n"/>
      <c r="E62" s="68" t="n"/>
      <c r="F62" s="56" t="n">
        <v>403</v>
      </c>
      <c r="G62" s="56" t="n">
        <v>2050</v>
      </c>
      <c r="H62" s="60" t="n"/>
      <c r="I62" s="60" t="inlineStr">
        <is>
          <t>PAID</t>
        </is>
      </c>
      <c r="J62" s="60" t="inlineStr">
        <is>
          <t>pp</t>
        </is>
      </c>
      <c r="K62" s="60" t="n">
        <v>10</v>
      </c>
      <c r="L62" s="67" t="n"/>
      <c r="M62" s="67" t="n"/>
      <c r="N62" s="67" t="n"/>
      <c r="O62" s="67" t="n"/>
      <c r="P62" s="69" t="n"/>
      <c r="Q62" s="69" t="n"/>
      <c r="R62" s="63" t="n"/>
      <c r="S62" s="60" t="n"/>
      <c r="T62" s="60" t="n"/>
      <c r="U62" s="64" t="n"/>
    </row>
    <row r="63" customFormat="1" s="58">
      <c r="A63" s="63" t="n"/>
      <c r="B63" s="63" t="n"/>
      <c r="C63" s="63" t="n"/>
      <c r="F63" s="58" t="inlineStr">
        <is>
          <t>JAMA</t>
        </is>
      </c>
      <c r="G63" s="58" t="n">
        <v>35578</v>
      </c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>
        <f>SUM(Q2:Q62)</f>
        <v/>
      </c>
      <c r="R63" s="63" t="n"/>
      <c r="S63" s="63" t="n"/>
      <c r="T63" s="63" t="n"/>
      <c r="U63" s="71">
        <f>SUM(U2:U62)</f>
        <v/>
      </c>
    </row>
    <row r="64">
      <c r="A64" s="58" t="n"/>
      <c r="F64" s="58" t="inlineStr">
        <is>
          <t>KHARCH</t>
        </is>
      </c>
      <c r="G64" s="58" t="n">
        <v>32985</v>
      </c>
      <c r="H64" s="63" t="n">
        <v>35365</v>
      </c>
      <c r="T64" s="60" t="inlineStr">
        <is>
          <t>Vehicle Rent</t>
        </is>
      </c>
      <c r="U64" s="64" t="n">
        <v>35000</v>
      </c>
    </row>
    <row r="65" customFormat="1" s="58">
      <c r="B65" s="63" t="n"/>
      <c r="C65" s="63" t="n"/>
      <c r="F65" s="58" t="inlineStr">
        <is>
          <t>KHARCH</t>
        </is>
      </c>
      <c r="G65" s="58" t="n">
        <v>2200</v>
      </c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0" t="inlineStr">
        <is>
          <t>CNG - Wk 1</t>
        </is>
      </c>
      <c r="U65" s="60" t="n">
        <v>3952</v>
      </c>
    </row>
    <row r="66" customFormat="1" s="58">
      <c r="B66" s="63" t="n"/>
      <c r="C66" s="63" t="n"/>
      <c r="F66" s="58" t="inlineStr">
        <is>
          <t>KHARCH</t>
        </is>
      </c>
      <c r="G66" s="58" t="n">
        <v>180</v>
      </c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0" t="inlineStr">
        <is>
          <t>CNG - Wk 2</t>
        </is>
      </c>
      <c r="U66" s="60" t="n">
        <v>6350</v>
      </c>
    </row>
    <row r="67" customFormat="1" s="58">
      <c r="B67" s="63" t="n"/>
      <c r="C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0" t="inlineStr">
        <is>
          <t>CNG - Wk 3</t>
        </is>
      </c>
      <c r="U67" s="60" t="n">
        <v>8773</v>
      </c>
    </row>
    <row r="68" customFormat="1" s="58">
      <c r="B68" s="63" t="n"/>
      <c r="C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0" t="inlineStr">
        <is>
          <t>CNG - Wk 4</t>
        </is>
      </c>
      <c r="U68" s="58" t="n">
        <v>9558</v>
      </c>
    </row>
    <row r="69" customFormat="1" s="58">
      <c r="B69" s="63" t="n"/>
      <c r="C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70" t="n"/>
      <c r="U69" s="79">
        <f>SUM(U64:U68)</f>
        <v/>
      </c>
    </row>
    <row r="70" customFormat="1" s="58">
      <c r="A70" s="63" t="n"/>
      <c r="B70" s="63" t="n"/>
      <c r="C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70" t="n"/>
      <c r="U70" s="63" t="n"/>
    </row>
    <row r="71">
      <c r="A71" s="58" t="n"/>
      <c r="T71" s="35" t="inlineStr">
        <is>
          <t>Total Expense</t>
        </is>
      </c>
      <c r="U71" s="71">
        <f>U69+U63</f>
        <v/>
      </c>
    </row>
    <row r="72" customFormat="1" s="58">
      <c r="A72" s="63" t="n"/>
      <c r="B72" s="63" t="n"/>
      <c r="C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35" t="inlineStr">
        <is>
          <t>Total Profit</t>
        </is>
      </c>
      <c r="U72" s="71">
        <f>Q63-U71</f>
        <v/>
      </c>
    </row>
    <row r="73">
      <c r="T73" s="7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5"/>
  <sheetViews>
    <sheetView zoomScale="85" zoomScaleNormal="85" workbookViewId="0">
      <pane ySplit="1" topLeftCell="A2" activePane="bottomLeft" state="frozen"/>
      <selection pane="bottomLeft" activeCell="D4" sqref="D4:I4"/>
    </sheetView>
  </sheetViews>
  <sheetFormatPr baseColWidth="8" defaultColWidth="8.88671875" defaultRowHeight="13.8"/>
  <cols>
    <col width="11.5546875" bestFit="1" customWidth="1" style="63" min="1" max="1"/>
    <col width="5.33203125" customWidth="1" style="63" min="2" max="2"/>
    <col width="12.33203125" customWidth="1" style="63" min="3" max="3"/>
    <col width="25.44140625" customWidth="1" style="58" min="4" max="4"/>
    <col width="33.109375" customWidth="1" style="58" min="5" max="5"/>
    <col width="14" customWidth="1" style="58" min="6" max="6"/>
    <col width="12.33203125" customWidth="1" style="58" min="7" max="7"/>
    <col width="11.6640625" customWidth="1" style="63" min="8" max="8"/>
    <col width="12.33203125" customWidth="1" style="63" min="9" max="9"/>
    <col width="9" customWidth="1" style="63" min="10" max="10"/>
    <col width="7.88671875" customWidth="1" style="63" min="11" max="11"/>
    <col width="9" customWidth="1" style="63" min="12" max="12"/>
    <col width="10.44140625" bestFit="1" customWidth="1" style="63" min="13" max="13"/>
    <col width="10.33203125" customWidth="1" style="63" min="14" max="14"/>
    <col width="8.6640625" customWidth="1" style="63" min="15" max="15"/>
    <col width="9" customWidth="1" style="63" min="16" max="16"/>
    <col width="13.5546875" customWidth="1" style="63" min="17" max="17"/>
    <col width="1.88671875" customWidth="1" style="63" min="18" max="18"/>
    <col width="12" bestFit="1" customWidth="1" style="63" min="19" max="19"/>
    <col width="13.33203125" customWidth="1" style="63" min="20" max="20"/>
    <col width="12.44140625" bestFit="1" customWidth="1" style="63" min="21" max="21"/>
    <col width="20.6640625" customWidth="1" style="58" min="22" max="22"/>
    <col width="8.88671875" customWidth="1" style="63" min="23" max="23"/>
    <col width="8.88671875" customWidth="1" style="63" min="24" max="16384"/>
  </cols>
  <sheetData>
    <row r="1" ht="41.4" customFormat="1" customHeight="1" s="58">
      <c r="A1" s="56" t="inlineStr">
        <is>
          <t>LR NUMBER</t>
        </is>
      </c>
      <c r="B1" s="57" t="inlineStr">
        <is>
          <t>#</t>
        </is>
      </c>
      <c r="C1" s="57" t="inlineStr">
        <is>
          <t>Pickup Request Date</t>
        </is>
      </c>
      <c r="D1" s="57" t="inlineStr">
        <is>
          <t>Name</t>
        </is>
      </c>
      <c r="E1" s="57" t="inlineStr">
        <is>
          <t>Address</t>
        </is>
      </c>
      <c r="F1" s="57" t="inlineStr">
        <is>
          <t>Contact Person</t>
        </is>
      </c>
      <c r="G1" s="57" t="inlineStr">
        <is>
          <t>Contact Number</t>
        </is>
      </c>
      <c r="H1" s="57" t="inlineStr">
        <is>
          <t>City</t>
        </is>
      </c>
      <c r="I1" s="57" t="inlineStr">
        <is>
          <t>State</t>
        </is>
      </c>
      <c r="J1" s="57" t="inlineStr">
        <is>
          <t>No Of Boxes</t>
        </is>
      </c>
      <c r="K1" s="57" t="inlineStr">
        <is>
          <t>Weight as per EcoFleet</t>
        </is>
      </c>
      <c r="L1" s="57" t="inlineStr">
        <is>
          <t>Weight as per Optlog</t>
        </is>
      </c>
      <c r="M1" s="57" t="inlineStr">
        <is>
          <t>Status</t>
        </is>
      </c>
      <c r="N1" s="57" t="inlineStr">
        <is>
          <t xml:space="preserve">Delivered on </t>
        </is>
      </c>
      <c r="O1" s="57" t="inlineStr">
        <is>
          <t>TAT</t>
        </is>
      </c>
      <c r="P1" s="57" t="inlineStr">
        <is>
          <t>Rate</t>
        </is>
      </c>
      <c r="Q1" s="57" t="inlineStr">
        <is>
          <t>Amount</t>
        </is>
      </c>
      <c r="S1" s="57" t="inlineStr">
        <is>
          <t>Vendor</t>
        </is>
      </c>
      <c r="T1" s="57" t="inlineStr">
        <is>
          <t>Vendor Rate</t>
        </is>
      </c>
      <c r="U1" s="57" t="inlineStr">
        <is>
          <t>CNG Paid &amp; Vendor Payment</t>
        </is>
      </c>
    </row>
    <row r="2" ht="27.6" customFormat="1" customHeight="1" s="58">
      <c r="A2" s="59" t="n">
        <v>260100085</v>
      </c>
      <c r="B2" s="60" t="n">
        <v>1</v>
      </c>
      <c r="C2" s="55" t="n">
        <v>46145</v>
      </c>
      <c r="D2" s="56" t="inlineStr">
        <is>
          <t>Trimurti Enterprises</t>
        </is>
      </c>
      <c r="E2" s="56" t="inlineStr">
        <is>
          <t>D-143, Five Star, MIDC Shendra, Chatrapati Sambhaji Nagar</t>
        </is>
      </c>
      <c r="F2" s="56" t="inlineStr">
        <is>
          <t>RAVI SIR</t>
        </is>
      </c>
      <c r="G2" s="56" t="n">
        <v>9075094520</v>
      </c>
      <c r="H2" s="60" t="inlineStr">
        <is>
          <t>Sambhaji nagar</t>
        </is>
      </c>
      <c r="I2" s="60" t="inlineStr">
        <is>
          <t>Maharashtra</t>
        </is>
      </c>
      <c r="J2" s="60" t="n">
        <v>89</v>
      </c>
      <c r="K2" s="60" t="n">
        <v>1378</v>
      </c>
      <c r="L2" s="60" t="n">
        <v>1378</v>
      </c>
      <c r="M2" s="60" t="inlineStr">
        <is>
          <t>Delivered</t>
        </is>
      </c>
      <c r="N2" s="73" t="n">
        <v>46146</v>
      </c>
      <c r="O2" s="74" t="n">
        <v>1</v>
      </c>
      <c r="P2" s="105" t="n">
        <v>10</v>
      </c>
      <c r="Q2" s="105" t="n">
        <v>11000</v>
      </c>
      <c r="R2" s="63" t="n"/>
      <c r="S2" s="60" t="inlineStr">
        <is>
          <t>Third Party</t>
        </is>
      </c>
      <c r="T2" s="60" t="n"/>
      <c r="U2" s="64" t="n">
        <v>7000</v>
      </c>
    </row>
    <row r="3" ht="27.6" customFormat="1" customHeight="1" s="58">
      <c r="A3" s="59" t="n">
        <v>260100086</v>
      </c>
      <c r="B3" s="60" t="n">
        <v>2</v>
      </c>
      <c r="C3" s="55" t="n">
        <v>46147</v>
      </c>
      <c r="D3" s="56" t="inlineStr">
        <is>
          <t>PREMIER SEALS INDIA PRIVATE LTD</t>
        </is>
      </c>
      <c r="E3" s="56" t="inlineStr">
        <is>
          <t>20/8, D-1 BLOCK, MIDC, CHINCHWAD, PUNE MAHARASHTRA 411019</t>
        </is>
      </c>
      <c r="F3" s="56" t="inlineStr">
        <is>
          <t xml:space="preserve">Mita </t>
        </is>
      </c>
      <c r="G3" s="56" t="n">
        <v>8956347535</v>
      </c>
      <c r="H3" s="60" t="inlineStr">
        <is>
          <t>Pune</t>
        </is>
      </c>
      <c r="I3" s="60" t="inlineStr">
        <is>
          <t>Maharashtra</t>
        </is>
      </c>
      <c r="J3" s="60" t="n">
        <v>34</v>
      </c>
      <c r="K3" s="60" t="n">
        <v>166</v>
      </c>
      <c r="L3" s="60" t="n">
        <v>166</v>
      </c>
      <c r="M3" s="60" t="inlineStr">
        <is>
          <t>Delivered</t>
        </is>
      </c>
      <c r="N3" s="73" t="n">
        <v>46148</v>
      </c>
      <c r="O3" s="74" t="n">
        <v>1</v>
      </c>
      <c r="P3" s="105" t="n">
        <v>10</v>
      </c>
      <c r="Q3" s="105">
        <f>P3*L3</f>
        <v/>
      </c>
      <c r="R3" s="63" t="n"/>
      <c r="S3" s="60" t="n"/>
      <c r="T3" s="60" t="n"/>
      <c r="U3" s="64" t="n"/>
    </row>
    <row r="4" ht="41.4" customFormat="1" customHeight="1" s="58">
      <c r="A4" s="59" t="n">
        <v>260100087</v>
      </c>
      <c r="B4" s="60" t="n">
        <v>3</v>
      </c>
      <c r="C4" s="55" t="n">
        <v>46147</v>
      </c>
      <c r="D4" s="56" t="inlineStr">
        <is>
          <t>THANUSAR ENTERPRISES</t>
        </is>
      </c>
      <c r="E4" s="56" t="inlineStr">
        <is>
          <t>PLOT NO 4/50, ADHAR INDUSTRIAL PREMISES, SECTOR NO 10 MIDC, BHOSARI PUNE</t>
        </is>
      </c>
      <c r="F4" s="56" t="inlineStr">
        <is>
          <t>Vishnu/kiran</t>
        </is>
      </c>
      <c r="G4" s="54" t="inlineStr">
        <is>
          <t>9036230620 / 9003133891</t>
        </is>
      </c>
      <c r="H4" s="60" t="inlineStr">
        <is>
          <t>Pune</t>
        </is>
      </c>
      <c r="I4" s="60" t="inlineStr">
        <is>
          <t>Maharashtra</t>
        </is>
      </c>
      <c r="J4" s="60" t="n">
        <v>19</v>
      </c>
      <c r="K4" s="60" t="n">
        <v>416</v>
      </c>
      <c r="L4" s="60" t="n">
        <v>416</v>
      </c>
      <c r="M4" s="60" t="inlineStr">
        <is>
          <t>Delivered</t>
        </is>
      </c>
      <c r="N4" s="73" t="n">
        <v>46148</v>
      </c>
      <c r="O4" s="74" t="n">
        <v>1</v>
      </c>
      <c r="P4" s="105" t="n">
        <v>10</v>
      </c>
      <c r="Q4" s="105">
        <f>P4*L4</f>
        <v/>
      </c>
      <c r="R4" s="60" t="n"/>
      <c r="S4" s="60" t="n"/>
      <c r="T4" s="64" t="n"/>
      <c r="U4" s="64" t="n"/>
    </row>
    <row r="5" ht="27.6" customFormat="1" customHeight="1" s="58">
      <c r="A5" s="59" t="n">
        <v>260100088</v>
      </c>
      <c r="B5" s="60" t="n">
        <v>4</v>
      </c>
      <c r="C5" s="55" t="n">
        <v>46147</v>
      </c>
      <c r="D5" s="56" t="inlineStr">
        <is>
          <t>ASTRA AUTOLITES</t>
        </is>
      </c>
      <c r="E5" s="56" t="inlineStr">
        <is>
          <t>GAT NO, 139B, ALANDI MARKAL ROAD, PUNE - 412105</t>
        </is>
      </c>
      <c r="F5" s="56" t="inlineStr">
        <is>
          <t>Flavia</t>
        </is>
      </c>
      <c r="G5" s="56" t="n">
        <v>9960525493</v>
      </c>
      <c r="H5" s="60" t="inlineStr">
        <is>
          <t>Pune</t>
        </is>
      </c>
      <c r="I5" s="60" t="inlineStr">
        <is>
          <t>Maharashtra</t>
        </is>
      </c>
      <c r="J5" s="60" t="n">
        <v>16</v>
      </c>
      <c r="K5" s="60" t="n">
        <v>108</v>
      </c>
      <c r="L5" s="60" t="n">
        <v>108</v>
      </c>
      <c r="M5" s="60" t="inlineStr">
        <is>
          <t>Delivered</t>
        </is>
      </c>
      <c r="N5" s="73" t="n">
        <v>46148</v>
      </c>
      <c r="O5" s="74" t="n">
        <v>1</v>
      </c>
      <c r="P5" s="105" t="n">
        <v>10</v>
      </c>
      <c r="Q5" s="105">
        <f>P5*L5</f>
        <v/>
      </c>
      <c r="R5" s="60" t="n"/>
      <c r="S5" s="60" t="n"/>
      <c r="T5" s="64" t="n"/>
      <c r="U5" s="64" t="n"/>
    </row>
    <row r="6" ht="41.4" customHeight="1">
      <c r="A6" s="59" t="n">
        <v>260100089</v>
      </c>
      <c r="B6" s="60" t="n">
        <v>5</v>
      </c>
      <c r="C6" s="55" t="n">
        <v>46147</v>
      </c>
      <c r="D6" s="56" t="inlineStr">
        <is>
          <t>NIKY PRECISION(MULAY POLYMERS PVT. LTD.)</t>
        </is>
      </c>
      <c r="E6" s="56" t="inlineStr">
        <is>
          <t>Gat No 679/2/1 Plot No. 30/6, Chakan Alandi Road, Tal.-Khed Dist.-Pune-410501.</t>
        </is>
      </c>
      <c r="F6" s="56" t="inlineStr">
        <is>
          <t xml:space="preserve">Rajkumar </t>
        </is>
      </c>
      <c r="G6" s="56" t="n">
        <v>9156575795</v>
      </c>
      <c r="H6" s="60" t="inlineStr">
        <is>
          <t>Pune</t>
        </is>
      </c>
      <c r="I6" s="60" t="inlineStr">
        <is>
          <t>Maharashtra</t>
        </is>
      </c>
      <c r="J6" s="60" t="n">
        <v>23</v>
      </c>
      <c r="K6" s="60" t="n">
        <v>196</v>
      </c>
      <c r="L6" s="60" t="n">
        <v>196</v>
      </c>
      <c r="M6" s="60" t="inlineStr">
        <is>
          <t>Delivered</t>
        </is>
      </c>
      <c r="N6" s="73" t="n">
        <v>46148</v>
      </c>
      <c r="O6" s="74" t="n">
        <v>1</v>
      </c>
      <c r="P6" s="105" t="n">
        <v>10</v>
      </c>
      <c r="Q6" s="105">
        <f>P6*L6</f>
        <v/>
      </c>
      <c r="R6" s="60" t="n"/>
      <c r="S6" s="60" t="n"/>
      <c r="T6" s="64" t="n"/>
      <c r="U6" s="60" t="n"/>
      <c r="V6" s="63" t="n"/>
    </row>
    <row r="7" ht="41.4" customHeight="1">
      <c r="A7" s="59" t="n">
        <v>260100090</v>
      </c>
      <c r="B7" s="60" t="n">
        <v>6</v>
      </c>
      <c r="C7" s="55" t="n">
        <v>46118</v>
      </c>
      <c r="D7" s="56" t="inlineStr">
        <is>
          <t>LALIT INDUSTRIES BULIDING</t>
        </is>
      </c>
      <c r="E7" s="56" t="inlineStr">
        <is>
          <t>NO.6, GALA NO 101, MITTAL INDUSTRIES ESTATE, ANDHERI KURLA ROAD, M.V. ROAD, MUMBAI 400059</t>
        </is>
      </c>
      <c r="F7" s="63" t="inlineStr">
        <is>
          <t>Rakesh</t>
        </is>
      </c>
      <c r="G7" s="56" t="n">
        <v>7021056086</v>
      </c>
      <c r="H7" s="60" t="inlineStr">
        <is>
          <t>Mumbai</t>
        </is>
      </c>
      <c r="I7" s="60" t="inlineStr">
        <is>
          <t>Maharashtra</t>
        </is>
      </c>
      <c r="J7" s="60" t="n">
        <v>75</v>
      </c>
      <c r="K7" s="60" t="n">
        <v>1045</v>
      </c>
      <c r="L7" s="60" t="n">
        <v>1045</v>
      </c>
      <c r="M7" s="60" t="inlineStr">
        <is>
          <t>Delivered</t>
        </is>
      </c>
      <c r="N7" s="55" t="n">
        <v>46149</v>
      </c>
      <c r="O7" s="65" t="n">
        <v>1</v>
      </c>
      <c r="P7" s="105" t="n">
        <v>10</v>
      </c>
      <c r="Q7" s="105">
        <f>P7*L7</f>
        <v/>
      </c>
      <c r="S7" s="60" t="inlineStr">
        <is>
          <t>STAR GLOBEL</t>
        </is>
      </c>
      <c r="T7" s="60" t="inlineStr">
        <is>
          <t>shree sir</t>
        </is>
      </c>
      <c r="U7" s="64" t="n">
        <v>4000</v>
      </c>
      <c r="V7" s="63" t="n"/>
    </row>
    <row r="8" ht="41.4" customFormat="1" customHeight="1" s="58">
      <c r="A8" s="59" t="n">
        <v>260100091</v>
      </c>
      <c r="B8" s="60" t="n">
        <v>7</v>
      </c>
      <c r="C8" s="55" t="n">
        <v>46149</v>
      </c>
      <c r="D8" s="56" t="inlineStr">
        <is>
          <t>NIKY PRECISION(MULAY POLYMERS PVT. LTD.)</t>
        </is>
      </c>
      <c r="E8" s="56" t="inlineStr">
        <is>
          <t>Gat No 679/2/1 Plot No. 30/6, Chakan Alandi Road, Tal.-Khed Dist.-Pune-410501.</t>
        </is>
      </c>
      <c r="F8" s="56" t="inlineStr">
        <is>
          <t xml:space="preserve">Rajkumar </t>
        </is>
      </c>
      <c r="G8" s="56" t="n">
        <v>9156575795</v>
      </c>
      <c r="H8" s="60" t="inlineStr">
        <is>
          <t>Pune</t>
        </is>
      </c>
      <c r="I8" s="60" t="inlineStr">
        <is>
          <t>Maharashtra</t>
        </is>
      </c>
      <c r="J8" s="60" t="n">
        <v>15</v>
      </c>
      <c r="K8" s="60" t="n">
        <v>130</v>
      </c>
      <c r="L8" s="60" t="n">
        <v>130</v>
      </c>
      <c r="M8" s="60" t="inlineStr">
        <is>
          <t>Delivered</t>
        </is>
      </c>
      <c r="N8" s="55" t="n">
        <v>46149</v>
      </c>
      <c r="O8" s="65" t="n">
        <v>0</v>
      </c>
      <c r="P8" s="105" t="n">
        <v>10</v>
      </c>
      <c r="Q8" s="105">
        <f>P8*L8</f>
        <v/>
      </c>
      <c r="R8" s="63" t="n"/>
      <c r="S8" s="60" t="n"/>
      <c r="T8" s="60" t="n"/>
      <c r="U8" s="64" t="n"/>
    </row>
    <row r="9" ht="14.4" customFormat="1" customHeight="1" s="58">
      <c r="A9" s="59" t="n">
        <v>260100092</v>
      </c>
      <c r="B9" s="60" t="n">
        <v>8</v>
      </c>
      <c r="C9" s="55" t="n">
        <v>46149</v>
      </c>
      <c r="D9" s="56" t="inlineStr">
        <is>
          <t>AKAR AUTO INDUSTRIES LIMIT</t>
        </is>
      </c>
      <c r="E9" s="56" t="inlineStr">
        <is>
          <t>E 5 MIDC WALUJ, AURANGABAD</t>
        </is>
      </c>
      <c r="F9" s="56" t="inlineStr">
        <is>
          <t>Mushtaq</t>
        </is>
      </c>
      <c r="G9" s="56" t="n">
        <v>9890997721</v>
      </c>
      <c r="H9" s="60" t="inlineStr">
        <is>
          <t>Sambhaji nagar</t>
        </is>
      </c>
      <c r="I9" s="60" t="inlineStr">
        <is>
          <t>Maharashtra</t>
        </is>
      </c>
      <c r="J9" s="60" t="n">
        <v>55</v>
      </c>
      <c r="K9" s="60" t="n">
        <v>1148</v>
      </c>
      <c r="L9" s="60" t="n">
        <v>1148</v>
      </c>
      <c r="M9" s="60" t="inlineStr">
        <is>
          <t>Delivered</t>
        </is>
      </c>
      <c r="N9" s="55" t="n">
        <v>46150</v>
      </c>
      <c r="O9" s="65" t="n">
        <v>1</v>
      </c>
      <c r="P9" s="105" t="n">
        <v>10</v>
      </c>
      <c r="Q9" s="105" t="n">
        <v>11000</v>
      </c>
      <c r="R9" s="63" t="n"/>
      <c r="S9" s="60" t="inlineStr">
        <is>
          <t>Third Party</t>
        </is>
      </c>
      <c r="T9" s="60" t="inlineStr">
        <is>
          <t>MAHESH</t>
        </is>
      </c>
      <c r="U9" s="64" t="n">
        <v>6500</v>
      </c>
    </row>
    <row r="10" ht="27.6" customFormat="1" customHeight="1" s="58">
      <c r="A10" s="59" t="n">
        <v>260100012</v>
      </c>
      <c r="B10" s="60" t="n">
        <v>9</v>
      </c>
      <c r="C10" s="55" t="n">
        <v>46144</v>
      </c>
      <c r="D10" s="56" t="inlineStr">
        <is>
          <t>Shekhar Brothers</t>
        </is>
      </c>
      <c r="E10" s="56" t="inlineStr">
        <is>
          <t>Plot No 58, Sector 6, Faridabad, Harayana - 121006</t>
        </is>
      </c>
      <c r="F10" s="56" t="inlineStr">
        <is>
          <t>Rajiv</t>
        </is>
      </c>
      <c r="G10" s="56" t="n">
        <v>8882838488</v>
      </c>
      <c r="H10" s="60" t="inlineStr">
        <is>
          <t>Faridabad</t>
        </is>
      </c>
      <c r="I10" s="60" t="inlineStr">
        <is>
          <t>Harayana</t>
        </is>
      </c>
      <c r="J10" s="60" t="n">
        <v>286</v>
      </c>
      <c r="K10" s="60" t="n">
        <v>4026</v>
      </c>
      <c r="L10" s="60" t="n">
        <v>4026</v>
      </c>
      <c r="M10" s="60" t="inlineStr">
        <is>
          <t>Delivered</t>
        </is>
      </c>
      <c r="N10" s="66" t="n">
        <v>46150</v>
      </c>
      <c r="O10" s="60" t="n">
        <v>4</v>
      </c>
      <c r="P10" s="105" t="n">
        <v>10</v>
      </c>
      <c r="Q10" s="105" t="n">
        <v>40000</v>
      </c>
      <c r="R10" s="63" t="n"/>
      <c r="S10" s="60" t="inlineStr">
        <is>
          <t>Third Party</t>
        </is>
      </c>
      <c r="T10" s="60" t="n"/>
      <c r="U10" s="64" t="n">
        <v>35000</v>
      </c>
    </row>
    <row r="11" ht="27.6" customFormat="1" customHeight="1" s="58">
      <c r="A11" s="59" t="n">
        <v>260100093</v>
      </c>
      <c r="B11" s="60" t="n">
        <v>10</v>
      </c>
      <c r="C11" s="55" t="n">
        <v>46150</v>
      </c>
      <c r="D11" s="56" t="inlineStr">
        <is>
          <t>TANISHQ PRECISION FASTENERS LLP</t>
        </is>
      </c>
      <c r="E11" s="56" t="inlineStr">
        <is>
          <t>GAT NO – 877, NIGHOJE, TAL -KHED, CHAKAN, PUNE-410501</t>
        </is>
      </c>
      <c r="F11" s="56" t="inlineStr">
        <is>
          <t>Sanjay</t>
        </is>
      </c>
      <c r="G11" s="56" t="n">
        <v>9579951621</v>
      </c>
      <c r="H11" s="60" t="inlineStr">
        <is>
          <t>Pune</t>
        </is>
      </c>
      <c r="I11" s="60" t="inlineStr">
        <is>
          <t>Maharashtra</t>
        </is>
      </c>
      <c r="J11" s="60" t="n">
        <v>33</v>
      </c>
      <c r="K11" s="60" t="n">
        <v>438</v>
      </c>
      <c r="L11" s="60" t="n">
        <v>438</v>
      </c>
      <c r="M11" s="60" t="inlineStr">
        <is>
          <t>Delivered</t>
        </is>
      </c>
      <c r="N11" s="55" t="n">
        <v>46151</v>
      </c>
      <c r="O11" s="65" t="n">
        <v>1</v>
      </c>
      <c r="P11" s="105" t="n">
        <v>10</v>
      </c>
      <c r="Q11" s="105">
        <f>P11*L11</f>
        <v/>
      </c>
      <c r="R11" s="63" t="n"/>
      <c r="S11" s="60" t="n"/>
      <c r="T11" s="60" t="n"/>
      <c r="U11" s="64" t="n"/>
    </row>
    <row r="12" ht="27.6" customFormat="1" customHeight="1" s="58">
      <c r="A12" s="59" t="n">
        <v>260100094</v>
      </c>
      <c r="B12" s="60" t="n">
        <v>11</v>
      </c>
      <c r="C12" s="55" t="n">
        <v>46150</v>
      </c>
      <c r="D12" s="56" t="inlineStr">
        <is>
          <t>JAI BHAVANI MATA ENGITECH PRIVATE LIMITED</t>
        </is>
      </c>
      <c r="E12" s="56" t="inlineStr">
        <is>
          <t>681, LANDEWADI, BHOSARI . BHOSARI , PUNE – 411026</t>
        </is>
      </c>
      <c r="F12" s="56" t="inlineStr">
        <is>
          <t>Balaji</t>
        </is>
      </c>
      <c r="G12" s="56" t="n">
        <v>9765567788</v>
      </c>
      <c r="H12" s="60" t="inlineStr">
        <is>
          <t>Pune</t>
        </is>
      </c>
      <c r="I12" s="60" t="inlineStr">
        <is>
          <t>Maharashtra</t>
        </is>
      </c>
      <c r="J12" s="60" t="n">
        <v>4</v>
      </c>
      <c r="K12" s="60" t="n">
        <v>56</v>
      </c>
      <c r="L12" s="60" t="n">
        <v>56</v>
      </c>
      <c r="M12" s="60" t="inlineStr">
        <is>
          <t>Delivered</t>
        </is>
      </c>
      <c r="N12" s="55" t="n">
        <v>46151</v>
      </c>
      <c r="O12" s="65" t="n">
        <v>0</v>
      </c>
      <c r="P12" s="105" t="n">
        <v>10</v>
      </c>
      <c r="Q12" s="105">
        <f>P12*L12</f>
        <v/>
      </c>
      <c r="R12" s="63" t="n"/>
      <c r="S12" s="60" t="n"/>
      <c r="T12" s="60" t="n"/>
      <c r="U12" s="64" t="n"/>
    </row>
    <row r="13" ht="27.6" customFormat="1" customHeight="1" s="58">
      <c r="A13" s="59" t="n">
        <v>260100095</v>
      </c>
      <c r="B13" s="60" t="n">
        <v>12</v>
      </c>
      <c r="C13" s="55" t="n">
        <v>46151</v>
      </c>
      <c r="D13" s="56" t="inlineStr">
        <is>
          <t>FERYEZ POLYMER PVT LTD</t>
        </is>
      </c>
      <c r="E13" s="56" t="inlineStr">
        <is>
          <t>SR.NO.172, CHICHWADGAON, PUNE 411033 MAHARASHTRA</t>
        </is>
      </c>
      <c r="F13" s="56" t="inlineStr">
        <is>
          <t xml:space="preserve">Sandip </t>
        </is>
      </c>
      <c r="G13" s="56" t="n">
        <v>9503161311</v>
      </c>
      <c r="H13" s="60" t="inlineStr">
        <is>
          <t>Pune</t>
        </is>
      </c>
      <c r="I13" s="60" t="inlineStr">
        <is>
          <t>Maharashtra</t>
        </is>
      </c>
      <c r="J13" s="60" t="n">
        <v>30</v>
      </c>
      <c r="K13" s="60" t="n">
        <v>555</v>
      </c>
      <c r="L13" s="60" t="n">
        <v>555</v>
      </c>
      <c r="M13" s="60" t="inlineStr">
        <is>
          <t>Delivered</t>
        </is>
      </c>
      <c r="N13" s="55" t="n">
        <v>46151</v>
      </c>
      <c r="O13" s="65" t="n">
        <v>0</v>
      </c>
      <c r="P13" s="105" t="n">
        <v>10</v>
      </c>
      <c r="Q13" s="105">
        <f>P13*L13</f>
        <v/>
      </c>
      <c r="R13" s="63" t="n"/>
      <c r="S13" s="60" t="n"/>
      <c r="T13" s="60" t="n"/>
      <c r="U13" s="64" t="n"/>
    </row>
    <row r="14" ht="14.4" customFormat="1" customHeight="1" s="58">
      <c r="A14" s="59" t="n"/>
      <c r="B14" s="60" t="n">
        <v>13</v>
      </c>
      <c r="C14" s="55" t="n">
        <v>46151</v>
      </c>
      <c r="D14" s="56" t="inlineStr">
        <is>
          <t xml:space="preserve">NIDHI BHIWANDI </t>
        </is>
      </c>
      <c r="E14" s="56" t="inlineStr">
        <is>
          <t>BENCHMARK PICKUP</t>
        </is>
      </c>
      <c r="F14" s="56" t="inlineStr">
        <is>
          <t>NIDHI</t>
        </is>
      </c>
      <c r="G14" s="56" t="n">
        <v>9769077587</v>
      </c>
      <c r="H14" s="60" t="inlineStr">
        <is>
          <t>BHIWANDI</t>
        </is>
      </c>
      <c r="I14" s="60" t="inlineStr">
        <is>
          <t>Maharashtra</t>
        </is>
      </c>
      <c r="J14" s="60" t="n">
        <v>5</v>
      </c>
      <c r="K14" s="60" t="n">
        <v>30</v>
      </c>
      <c r="L14" s="60" t="n">
        <v>30</v>
      </c>
      <c r="M14" s="60" t="inlineStr">
        <is>
          <t>Delivered</t>
        </is>
      </c>
      <c r="N14" s="66" t="n">
        <v>46153</v>
      </c>
      <c r="O14" s="65" t="n">
        <v>1</v>
      </c>
      <c r="P14" s="105" t="n">
        <v>10</v>
      </c>
      <c r="Q14" s="105">
        <f>P14*L14</f>
        <v/>
      </c>
      <c r="R14" s="63" t="n"/>
      <c r="S14" s="60" t="inlineStr">
        <is>
          <t xml:space="preserve">velocity </t>
        </is>
      </c>
      <c r="T14" s="60" t="n"/>
      <c r="U14" s="64" t="n">
        <v>180</v>
      </c>
    </row>
    <row r="15" ht="31.95" customFormat="1" customHeight="1" s="58">
      <c r="A15" s="59" t="n">
        <v>260100096</v>
      </c>
      <c r="B15" s="60" t="n">
        <v>14</v>
      </c>
      <c r="C15" s="55" t="n">
        <v>46153</v>
      </c>
      <c r="D15" s="56" t="inlineStr">
        <is>
          <t>PACOLINE INDUSTRIES PRIVATE LIMITED</t>
        </is>
      </c>
      <c r="E15" s="56" t="inlineStr">
        <is>
          <t>21 Hadapsar Indl Estate  Pune 411013</t>
        </is>
      </c>
      <c r="F15" s="56" t="inlineStr">
        <is>
          <t>SOURAV</t>
        </is>
      </c>
      <c r="G15" s="56" t="n">
        <v>9552519571</v>
      </c>
      <c r="H15" s="60" t="inlineStr">
        <is>
          <t>Pune</t>
        </is>
      </c>
      <c r="I15" s="60" t="inlineStr">
        <is>
          <t>Maharashtra</t>
        </is>
      </c>
      <c r="J15" s="60" t="n">
        <v>42</v>
      </c>
      <c r="K15" s="60" t="n">
        <v>476</v>
      </c>
      <c r="L15" s="60" t="n">
        <v>476</v>
      </c>
      <c r="M15" s="60" t="inlineStr">
        <is>
          <t>Delivered</t>
        </is>
      </c>
      <c r="N15" s="66" t="n">
        <v>46154</v>
      </c>
      <c r="O15" s="65" t="n">
        <v>1</v>
      </c>
      <c r="P15" s="105" t="n">
        <v>10</v>
      </c>
      <c r="Q15" s="105" t="n">
        <v>6000</v>
      </c>
      <c r="R15" s="63" t="n"/>
      <c r="S15" s="60" t="inlineStr">
        <is>
          <t>Third Party</t>
        </is>
      </c>
      <c r="T15" s="60" t="inlineStr">
        <is>
          <t>rajesh</t>
        </is>
      </c>
      <c r="U15" s="64" t="n">
        <v>4500</v>
      </c>
    </row>
    <row r="16" ht="14.4" customFormat="1" customHeight="1" s="58">
      <c r="A16" s="59" t="n">
        <v>260100097</v>
      </c>
      <c r="B16" s="60" t="n">
        <v>15</v>
      </c>
      <c r="C16" s="55" t="n">
        <v>46154</v>
      </c>
      <c r="D16" s="56" t="inlineStr">
        <is>
          <t>AKAR AUTO INDUSTRIES LIMIT</t>
        </is>
      </c>
      <c r="E16" s="56" t="inlineStr">
        <is>
          <t>E 5 MIDC WALUJ, AURANGABAD</t>
        </is>
      </c>
      <c r="F16" s="56" t="inlineStr">
        <is>
          <t>Mushtaq</t>
        </is>
      </c>
      <c r="G16" s="56" t="n">
        <v>9890997721</v>
      </c>
      <c r="H16" s="60" t="inlineStr">
        <is>
          <t>Sambhaji nagar</t>
        </is>
      </c>
      <c r="I16" s="60" t="inlineStr">
        <is>
          <t>Maharashtra</t>
        </is>
      </c>
      <c r="J16" s="60" t="n">
        <v>8</v>
      </c>
      <c r="K16" s="60" t="n">
        <v>243</v>
      </c>
      <c r="L16" s="60" t="n">
        <v>243</v>
      </c>
      <c r="M16" s="60" t="inlineStr">
        <is>
          <t>Delivered</t>
        </is>
      </c>
      <c r="N16" s="55" t="n">
        <v>46155</v>
      </c>
      <c r="O16" s="65" t="n">
        <v>1</v>
      </c>
      <c r="P16" s="105" t="n">
        <v>10</v>
      </c>
      <c r="Q16" s="105">
        <f>P16*L16</f>
        <v/>
      </c>
      <c r="R16" s="63" t="n"/>
      <c r="S16" s="60" t="inlineStr">
        <is>
          <t>STAR GLOBEL</t>
        </is>
      </c>
      <c r="T16" s="60" t="inlineStr">
        <is>
          <t>shree sir</t>
        </is>
      </c>
      <c r="U16" s="64" t="n">
        <v>2000</v>
      </c>
    </row>
    <row r="17" ht="41.4" customFormat="1" customHeight="1" s="58">
      <c r="A17" s="59" t="n">
        <v>260100098</v>
      </c>
      <c r="B17" s="60" t="n">
        <v>16</v>
      </c>
      <c r="C17" s="55" t="n">
        <v>46154</v>
      </c>
      <c r="D17" s="56" t="inlineStr">
        <is>
          <t>NIKY PRECISION ENGINEERS PRIVATE LIMITED</t>
        </is>
      </c>
      <c r="E17" s="56" t="inlineStr">
        <is>
          <t xml:space="preserve"> PLOT NO 15, GALA NO 1, 3, 5, 7, PLOT NO 9, S NO 38/2/18, 16, NARHE, PUNE-411041</t>
        </is>
      </c>
      <c r="F17" s="56" t="inlineStr">
        <is>
          <t>Jeevan</t>
        </is>
      </c>
      <c r="G17" s="56" t="n">
        <v>8446006021</v>
      </c>
      <c r="H17" s="60" t="inlineStr">
        <is>
          <t>Pune</t>
        </is>
      </c>
      <c r="I17" s="60" t="inlineStr">
        <is>
          <t>Maharashtra</t>
        </is>
      </c>
      <c r="J17" s="60" t="n">
        <v>46</v>
      </c>
      <c r="K17" s="60" t="n">
        <v>422</v>
      </c>
      <c r="L17" s="60" t="n">
        <v>422</v>
      </c>
      <c r="M17" s="60" t="inlineStr">
        <is>
          <t>Delivered</t>
        </is>
      </c>
      <c r="N17" s="55" t="n">
        <v>46155</v>
      </c>
      <c r="O17" s="65" t="n">
        <v>1</v>
      </c>
      <c r="P17" s="105" t="n">
        <v>10</v>
      </c>
      <c r="Q17" s="105">
        <f>P17*L17</f>
        <v/>
      </c>
      <c r="R17" s="63" t="n"/>
      <c r="S17" s="60" t="n"/>
      <c r="T17" s="60" t="n"/>
      <c r="U17" s="64" t="n"/>
    </row>
    <row r="18" ht="41.4" customFormat="1" customHeight="1" s="58">
      <c r="A18" s="59" t="n">
        <v>260100099</v>
      </c>
      <c r="B18" s="60" t="n">
        <v>17</v>
      </c>
      <c r="C18" s="55" t="n">
        <v>46154</v>
      </c>
      <c r="D18" s="56" t="inlineStr">
        <is>
          <t>NIKY PRECISION(MULAY POLYMERS PVT. LTD.)</t>
        </is>
      </c>
      <c r="E18" s="56" t="inlineStr">
        <is>
          <t>Gat No 679/2/1 Plot No. 30/6, Chakan Alandi Road, Tal.-Khed Dist.-Pune-410501.</t>
        </is>
      </c>
      <c r="F18" s="56" t="inlineStr">
        <is>
          <t xml:space="preserve">Rajkumar </t>
        </is>
      </c>
      <c r="G18" s="56" t="n">
        <v>9156575795</v>
      </c>
      <c r="H18" s="60" t="inlineStr">
        <is>
          <t>Pune</t>
        </is>
      </c>
      <c r="I18" s="60" t="inlineStr">
        <is>
          <t>Maharashtra</t>
        </is>
      </c>
      <c r="J18" s="60" t="n">
        <v>28</v>
      </c>
      <c r="K18" s="60" t="n">
        <v>251</v>
      </c>
      <c r="L18" s="60" t="n">
        <v>251</v>
      </c>
      <c r="M18" s="60" t="inlineStr">
        <is>
          <t>Delivered</t>
        </is>
      </c>
      <c r="N18" s="55" t="n">
        <v>46155</v>
      </c>
      <c r="O18" s="65" t="n">
        <v>1</v>
      </c>
      <c r="P18" s="105" t="n">
        <v>10</v>
      </c>
      <c r="Q18" s="105">
        <f>P18*L18</f>
        <v/>
      </c>
      <c r="R18" s="63" t="n"/>
      <c r="S18" s="60" t="n"/>
      <c r="T18" s="64" t="n"/>
      <c r="U18" s="64" t="n"/>
    </row>
    <row r="19" ht="27.6" customFormat="1" customHeight="1" s="58">
      <c r="A19" s="59" t="n">
        <v>260100100</v>
      </c>
      <c r="B19" s="60" t="n">
        <v>18</v>
      </c>
      <c r="C19" s="55" t="n">
        <v>46155</v>
      </c>
      <c r="D19" s="56" t="inlineStr">
        <is>
          <t>Perfect Cam Profile Pvt Ltd</t>
        </is>
      </c>
      <c r="E19" s="56" t="inlineStr">
        <is>
          <t>Address: Plot No S 55, Bhosari Industrial Estate, Pune - 411026</t>
        </is>
      </c>
      <c r="F19" s="56" t="inlineStr">
        <is>
          <t>Mehul Patel</t>
        </is>
      </c>
      <c r="G19" s="56" t="inlineStr">
        <is>
          <t>9860040965/7436901742</t>
        </is>
      </c>
      <c r="H19" s="60" t="inlineStr">
        <is>
          <t>Pune</t>
        </is>
      </c>
      <c r="I19" s="60" t="inlineStr">
        <is>
          <t>Maharashtra</t>
        </is>
      </c>
      <c r="J19" s="60" t="n">
        <v>110</v>
      </c>
      <c r="K19" s="60" t="n">
        <v>1650</v>
      </c>
      <c r="L19" s="60" t="n">
        <v>1650</v>
      </c>
      <c r="M19" s="60" t="inlineStr">
        <is>
          <t>Delivered</t>
        </is>
      </c>
      <c r="N19" s="66" t="n">
        <v>46156</v>
      </c>
      <c r="O19" s="65" t="n">
        <v>1</v>
      </c>
      <c r="P19" s="105" t="n">
        <v>10</v>
      </c>
      <c r="Q19" s="105" t="n">
        <v>11000</v>
      </c>
      <c r="R19" s="63" t="n"/>
      <c r="S19" s="60" t="n"/>
      <c r="T19" s="64" t="n"/>
      <c r="U19" s="64" t="n"/>
    </row>
    <row r="20" ht="14.4" customFormat="1" customHeight="1" s="58">
      <c r="A20" s="59" t="n">
        <v>260100101</v>
      </c>
      <c r="B20" s="60" t="n">
        <v>19</v>
      </c>
      <c r="C20" s="55" t="n">
        <v>46155</v>
      </c>
      <c r="D20" s="56" t="inlineStr">
        <is>
          <t>Lumax industries</t>
        </is>
      </c>
      <c r="E20" s="56" t="inlineStr">
        <is>
          <t>D2/43-44 MIDC INDL Area Chinchwad</t>
        </is>
      </c>
      <c r="F20" s="56" t="inlineStr">
        <is>
          <t>Sandeep</t>
        </is>
      </c>
      <c r="G20" s="56" t="n">
        <v>9657704906</v>
      </c>
      <c r="H20" s="60" t="inlineStr">
        <is>
          <t>Pune</t>
        </is>
      </c>
      <c r="I20" s="60" t="inlineStr">
        <is>
          <t>Maharashtra</t>
        </is>
      </c>
      <c r="J20" s="60" t="n">
        <v>2</v>
      </c>
      <c r="K20" s="60" t="n">
        <v>20</v>
      </c>
      <c r="L20" s="60" t="n">
        <v>20</v>
      </c>
      <c r="M20" s="60" t="inlineStr">
        <is>
          <t>Delivered</t>
        </is>
      </c>
      <c r="N20" s="66" t="n">
        <v>46156</v>
      </c>
      <c r="O20" s="65" t="n">
        <v>1</v>
      </c>
      <c r="P20" s="105" t="n">
        <v>10</v>
      </c>
      <c r="Q20" s="105">
        <f>P20*L20</f>
        <v/>
      </c>
      <c r="R20" s="63" t="n"/>
      <c r="S20" s="60" t="n"/>
      <c r="T20" s="60" t="n"/>
      <c r="U20" s="64" t="n"/>
    </row>
    <row r="21" ht="27.6" customFormat="1" customHeight="1" s="58">
      <c r="A21" s="59" t="n">
        <v>260100102</v>
      </c>
      <c r="B21" s="60" t="n">
        <v>20</v>
      </c>
      <c r="C21" s="55" t="n">
        <v>46157</v>
      </c>
      <c r="D21" s="56" t="inlineStr">
        <is>
          <t>PACOLINE INDUSTRIES PRIVATE LIMITED</t>
        </is>
      </c>
      <c r="E21" s="56" t="inlineStr">
        <is>
          <t>21 Hadapsar Indl Estate  Pune 411013</t>
        </is>
      </c>
      <c r="F21" s="56" t="inlineStr">
        <is>
          <t>SOURAV</t>
        </is>
      </c>
      <c r="G21" s="56" t="n">
        <v>9552519571</v>
      </c>
      <c r="H21" s="60" t="inlineStr">
        <is>
          <t>Pune</t>
        </is>
      </c>
      <c r="I21" s="60" t="inlineStr">
        <is>
          <t>Maharashtra</t>
        </is>
      </c>
      <c r="J21" s="60" t="n">
        <v>43</v>
      </c>
      <c r="K21" s="60" t="n">
        <v>483</v>
      </c>
      <c r="L21" s="60" t="n">
        <v>483</v>
      </c>
      <c r="M21" s="60" t="inlineStr">
        <is>
          <t>Delivered</t>
        </is>
      </c>
      <c r="N21" s="66" t="n">
        <v>46157</v>
      </c>
      <c r="O21" s="65" t="n">
        <v>0</v>
      </c>
      <c r="P21" s="105" t="n">
        <v>10</v>
      </c>
      <c r="Q21" s="105" t="n">
        <v>6000</v>
      </c>
      <c r="R21" s="63" t="n"/>
      <c r="S21" s="60" t="inlineStr">
        <is>
          <t>Third Party</t>
        </is>
      </c>
      <c r="T21" s="60" t="inlineStr">
        <is>
          <t xml:space="preserve">RAJESH </t>
        </is>
      </c>
      <c r="U21" s="64" t="n">
        <v>4000</v>
      </c>
    </row>
    <row r="22" ht="27.6" customFormat="1" customHeight="1" s="58">
      <c r="A22" s="59" t="n">
        <v>260100103</v>
      </c>
      <c r="B22" s="60" t="n">
        <v>21</v>
      </c>
      <c r="C22" s="66" t="n">
        <v>46158</v>
      </c>
      <c r="D22" s="56" t="inlineStr">
        <is>
          <t>FERYEZ POLYMER PVT LTD</t>
        </is>
      </c>
      <c r="E22" s="56" t="inlineStr">
        <is>
          <t>SR.NO.172, CHICHWADGAON, PUNE 411033 MAHARASHTRA</t>
        </is>
      </c>
      <c r="F22" s="56" t="inlineStr">
        <is>
          <t xml:space="preserve">Sandip </t>
        </is>
      </c>
      <c r="G22" s="56" t="n">
        <v>9503161311</v>
      </c>
      <c r="H22" s="60" t="inlineStr">
        <is>
          <t>Pune</t>
        </is>
      </c>
      <c r="I22" s="60" t="inlineStr">
        <is>
          <t>Maharashtra</t>
        </is>
      </c>
      <c r="J22" s="60" t="n">
        <v>19</v>
      </c>
      <c r="K22" s="60" t="n">
        <v>447</v>
      </c>
      <c r="L22" s="60" t="n">
        <v>447</v>
      </c>
      <c r="M22" s="60" t="inlineStr">
        <is>
          <t>Delivered</t>
        </is>
      </c>
      <c r="N22" s="55" t="n">
        <v>46160</v>
      </c>
      <c r="O22" s="65" t="n">
        <v>1</v>
      </c>
      <c r="P22" s="105" t="n">
        <v>10</v>
      </c>
      <c r="Q22" s="105">
        <f>P22*L22</f>
        <v/>
      </c>
      <c r="R22" s="63" t="n"/>
      <c r="S22" s="60" t="n"/>
      <c r="T22" s="60" t="n"/>
      <c r="U22" s="64" t="n"/>
    </row>
    <row r="23" ht="41.4" customFormat="1" customHeight="1" s="58">
      <c r="A23" s="59" t="n">
        <v>260100104</v>
      </c>
      <c r="B23" s="60" t="n">
        <v>22</v>
      </c>
      <c r="C23" s="66" t="n">
        <v>46158</v>
      </c>
      <c r="D23" s="56" t="inlineStr">
        <is>
          <t>NIKY PRECISION(MULAY POLYMERS PVT. LTD.)</t>
        </is>
      </c>
      <c r="E23" s="56" t="inlineStr">
        <is>
          <t>Gat No 679/2/1 Plot No. 30/6, Chakan Alandi Road, Tal.-Khed Dist.-Pune-410501.</t>
        </is>
      </c>
      <c r="F23" s="56" t="inlineStr">
        <is>
          <t xml:space="preserve">Rajkumar </t>
        </is>
      </c>
      <c r="G23" s="56" t="n">
        <v>9156575795</v>
      </c>
      <c r="H23" s="60" t="inlineStr">
        <is>
          <t>Pune</t>
        </is>
      </c>
      <c r="I23" s="60" t="inlineStr">
        <is>
          <t>Maharashtra</t>
        </is>
      </c>
      <c r="J23" s="60" t="n">
        <v>31</v>
      </c>
      <c r="K23" s="60" t="n">
        <v>274</v>
      </c>
      <c r="L23" s="60" t="n">
        <v>274</v>
      </c>
      <c r="M23" s="60" t="inlineStr">
        <is>
          <t>Delivered</t>
        </is>
      </c>
      <c r="N23" s="55" t="n">
        <v>46160</v>
      </c>
      <c r="O23" s="65" t="n">
        <v>1</v>
      </c>
      <c r="P23" s="105" t="n">
        <v>10</v>
      </c>
      <c r="Q23" s="105">
        <f>P23*L23</f>
        <v/>
      </c>
      <c r="R23" s="63" t="n"/>
      <c r="S23" s="60" t="n"/>
      <c r="T23" s="60" t="n"/>
      <c r="U23" s="64" t="n"/>
    </row>
    <row r="24" ht="14.4" customFormat="1" customHeight="1" s="58">
      <c r="A24" s="59" t="n"/>
      <c r="B24" s="60" t="n">
        <v>23</v>
      </c>
      <c r="C24" s="55" t="n">
        <v>46160</v>
      </c>
      <c r="D24" s="56" t="inlineStr">
        <is>
          <t xml:space="preserve">JAI GAUTAM SIR BROTHER </t>
        </is>
      </c>
      <c r="E24" s="56" t="inlineStr">
        <is>
          <t>VIMAN NAGAR TO CHAINAI</t>
        </is>
      </c>
      <c r="F24" s="56" t="inlineStr">
        <is>
          <t xml:space="preserve">JAI </t>
        </is>
      </c>
      <c r="G24" s="56" t="n">
        <v>9445888660</v>
      </c>
      <c r="H24" s="60" t="inlineStr">
        <is>
          <t xml:space="preserve">PUNE </t>
        </is>
      </c>
      <c r="I24" s="60" t="inlineStr">
        <is>
          <t>Maharashtra</t>
        </is>
      </c>
      <c r="J24" s="60" t="n">
        <v>7</v>
      </c>
      <c r="K24" s="60" t="n">
        <v>53</v>
      </c>
      <c r="L24" s="60" t="n">
        <v>53</v>
      </c>
      <c r="M24" s="60" t="n"/>
      <c r="N24" s="66" t="n"/>
      <c r="O24" s="65" t="n"/>
      <c r="P24" s="105" t="n">
        <v>10</v>
      </c>
      <c r="Q24" s="105" t="n">
        <v>2125</v>
      </c>
      <c r="R24" s="63" t="n"/>
      <c r="S24" s="60" t="inlineStr">
        <is>
          <t>STAR GLOBEL</t>
        </is>
      </c>
      <c r="T24" s="60" t="inlineStr">
        <is>
          <t>shree sir</t>
        </is>
      </c>
      <c r="U24" s="64" t="n">
        <v>2125</v>
      </c>
    </row>
    <row r="25" ht="14.4" customFormat="1" customHeight="1" s="58">
      <c r="A25" s="59" t="n"/>
      <c r="B25" s="60" t="n">
        <v>24</v>
      </c>
      <c r="C25" s="55" t="n">
        <v>46160</v>
      </c>
      <c r="D25" s="56" t="inlineStr">
        <is>
          <t xml:space="preserve">NIDHI BHIWANDI </t>
        </is>
      </c>
      <c r="E25" s="56" t="inlineStr">
        <is>
          <t>BENCHMARK PICKUP</t>
        </is>
      </c>
      <c r="F25" s="56" t="inlineStr">
        <is>
          <t>NIDHI</t>
        </is>
      </c>
      <c r="G25" s="56" t="n">
        <v>9769077587</v>
      </c>
      <c r="H25" s="60" t="inlineStr">
        <is>
          <t>BHIWANDI</t>
        </is>
      </c>
      <c r="I25" s="60" t="inlineStr">
        <is>
          <t>Maharashtra</t>
        </is>
      </c>
      <c r="J25" s="60" t="n">
        <v>2</v>
      </c>
      <c r="K25" s="60" t="n">
        <v>10</v>
      </c>
      <c r="L25" s="60" t="n">
        <v>10</v>
      </c>
      <c r="M25" s="60" t="n"/>
      <c r="N25" s="66" t="n"/>
      <c r="O25" s="65" t="n"/>
      <c r="P25" s="105" t="n">
        <v>10</v>
      </c>
      <c r="Q25" s="105" t="n">
        <v>200</v>
      </c>
      <c r="R25" s="63" t="n"/>
      <c r="S25" s="60" t="inlineStr">
        <is>
          <t>STAR GLOBEL</t>
        </is>
      </c>
      <c r="T25" s="60" t="inlineStr">
        <is>
          <t>shree sir</t>
        </is>
      </c>
      <c r="U25" s="64" t="n">
        <v>200</v>
      </c>
    </row>
    <row r="26" ht="41.4" customFormat="1" customHeight="1" s="58">
      <c r="A26" s="59" t="n">
        <v>260100105</v>
      </c>
      <c r="B26" s="60" t="n">
        <v>25</v>
      </c>
      <c r="C26" s="66" t="n">
        <v>46161</v>
      </c>
      <c r="D26" s="56" t="inlineStr">
        <is>
          <t>NIKY PRECISION(MULAY POLYMERS PVT. LTD.)</t>
        </is>
      </c>
      <c r="E26" s="56" t="inlineStr">
        <is>
          <t>Gat No 679/2/1 Plot No. 30/6, Chakan Alandi Road, Tal.-Khed Dist.-Pune-410501.</t>
        </is>
      </c>
      <c r="F26" s="56" t="inlineStr">
        <is>
          <t xml:space="preserve">Rajkumar </t>
        </is>
      </c>
      <c r="G26" s="56" t="n">
        <v>9156575795</v>
      </c>
      <c r="H26" s="60" t="inlineStr">
        <is>
          <t>Pune</t>
        </is>
      </c>
      <c r="I26" s="60" t="inlineStr">
        <is>
          <t>Maharashtra</t>
        </is>
      </c>
      <c r="J26" s="60" t="n">
        <v>34</v>
      </c>
      <c r="K26" s="60" t="n">
        <v>284</v>
      </c>
      <c r="L26" s="60" t="n">
        <v>284</v>
      </c>
      <c r="M26" s="60" t="inlineStr">
        <is>
          <t>Delivered</t>
        </is>
      </c>
      <c r="N26" s="66" t="n">
        <v>45797</v>
      </c>
      <c r="O26" s="65" t="n">
        <v>1</v>
      </c>
      <c r="P26" s="105" t="n">
        <v>10</v>
      </c>
      <c r="Q26" s="105">
        <f>P26*L26</f>
        <v/>
      </c>
      <c r="R26" s="63" t="n"/>
      <c r="S26" s="60" t="n"/>
      <c r="T26" s="60" t="n"/>
      <c r="U26" s="64" t="n"/>
    </row>
    <row r="27" ht="27.6" customFormat="1" customHeight="1" s="58">
      <c r="A27" s="59" t="n">
        <v>260100106</v>
      </c>
      <c r="B27" s="60" t="n">
        <v>26</v>
      </c>
      <c r="C27" s="66" t="n">
        <v>46162</v>
      </c>
      <c r="D27" s="56" t="inlineStr">
        <is>
          <t>STAR CIRCLIPS AND ENGINEERING LIMITED</t>
        </is>
      </c>
      <c r="E27" s="56" t="inlineStr">
        <is>
          <t xml:space="preserve">B-24 HINGNA NAGPUR </t>
        </is>
      </c>
      <c r="F27" s="56" t="inlineStr">
        <is>
          <t>DILIP</t>
        </is>
      </c>
      <c r="G27" s="56" t="n">
        <v>9326179340</v>
      </c>
      <c r="H27" s="60" t="inlineStr">
        <is>
          <t>NAGPUR</t>
        </is>
      </c>
      <c r="I27" s="60" t="inlineStr">
        <is>
          <t>Maharashtra</t>
        </is>
      </c>
      <c r="J27" s="60" t="n">
        <v>1</v>
      </c>
      <c r="K27" s="60" t="n">
        <v>20</v>
      </c>
      <c r="L27" s="60" t="n">
        <v>20</v>
      </c>
      <c r="M27" s="60" t="inlineStr">
        <is>
          <t>Delivered</t>
        </is>
      </c>
      <c r="N27" s="66" t="n">
        <v>46166</v>
      </c>
      <c r="O27" s="65" t="n">
        <v>5</v>
      </c>
      <c r="P27" s="105" t="n">
        <v>10</v>
      </c>
      <c r="Q27" s="105" t="n">
        <v>1000</v>
      </c>
      <c r="R27" s="63" t="n"/>
      <c r="S27" s="60" t="inlineStr">
        <is>
          <t>CARGOLINK</t>
        </is>
      </c>
      <c r="T27" s="60" t="n"/>
      <c r="U27" s="64" t="n">
        <v>700</v>
      </c>
    </row>
    <row r="28" ht="27.6" customFormat="1" customHeight="1" s="58">
      <c r="A28" s="59" t="n">
        <v>260100107</v>
      </c>
      <c r="B28" s="60" t="n">
        <v>27</v>
      </c>
      <c r="C28" s="66" t="n">
        <v>46162</v>
      </c>
      <c r="D28" s="56" t="inlineStr">
        <is>
          <t>FERYEZ POLYMER PVT LTD</t>
        </is>
      </c>
      <c r="E28" s="56" t="inlineStr">
        <is>
          <t>SR.NO.172, CHICHWADGAON, PUNE 411033 MAHARASHTRA</t>
        </is>
      </c>
      <c r="F28" s="56" t="inlineStr">
        <is>
          <t xml:space="preserve">Sandip </t>
        </is>
      </c>
      <c r="G28" s="56" t="n">
        <v>9503161311</v>
      </c>
      <c r="H28" s="60" t="inlineStr">
        <is>
          <t>Pune</t>
        </is>
      </c>
      <c r="I28" s="60" t="inlineStr">
        <is>
          <t>Maharashtra</t>
        </is>
      </c>
      <c r="J28" s="60" t="n">
        <v>10</v>
      </c>
      <c r="K28" s="60" t="n">
        <v>252</v>
      </c>
      <c r="L28" s="60" t="n">
        <v>252</v>
      </c>
      <c r="M28" s="60" t="inlineStr">
        <is>
          <t>Delivered</t>
        </is>
      </c>
      <c r="N28" s="66" t="n">
        <v>45797</v>
      </c>
      <c r="O28" s="65" t="n">
        <v>0</v>
      </c>
      <c r="P28" s="105" t="n">
        <v>10</v>
      </c>
      <c r="Q28" s="105">
        <f>P28*L28</f>
        <v/>
      </c>
      <c r="R28" s="63" t="n"/>
      <c r="S28" s="60" t="n"/>
      <c r="T28" s="60" t="n"/>
      <c r="U28" s="64" t="n"/>
    </row>
    <row r="29" ht="27.6" customFormat="1" customHeight="1" s="58">
      <c r="A29" s="59" t="n">
        <v>260100108</v>
      </c>
      <c r="B29" s="60" t="n">
        <v>28</v>
      </c>
      <c r="C29" s="66" t="n">
        <v>46162</v>
      </c>
      <c r="D29" s="56" t="inlineStr">
        <is>
          <t>PACOLINE INDUSTRIES PRIVATE LIMITED</t>
        </is>
      </c>
      <c r="E29" s="56" t="inlineStr">
        <is>
          <t>21 Hadapsar Indl Estate  Pune 411013</t>
        </is>
      </c>
      <c r="F29" s="56" t="inlineStr">
        <is>
          <t>SOURAV</t>
        </is>
      </c>
      <c r="G29" s="56" t="n">
        <v>9552519571</v>
      </c>
      <c r="H29" s="60" t="inlineStr">
        <is>
          <t>Pune</t>
        </is>
      </c>
      <c r="I29" s="60" t="inlineStr">
        <is>
          <t>Maharashtra</t>
        </is>
      </c>
      <c r="J29" s="60" t="n">
        <v>27</v>
      </c>
      <c r="K29" s="60" t="n">
        <v>290</v>
      </c>
      <c r="L29" s="60" t="n">
        <v>290</v>
      </c>
      <c r="M29" s="60" t="inlineStr">
        <is>
          <t>Delivered</t>
        </is>
      </c>
      <c r="N29" s="66" t="n">
        <v>46163</v>
      </c>
      <c r="O29" s="65" t="n">
        <v>0</v>
      </c>
      <c r="P29" s="105" t="n">
        <v>10</v>
      </c>
      <c r="Q29" s="105" t="n">
        <v>5000</v>
      </c>
      <c r="R29" s="63" t="n"/>
      <c r="S29" s="60" t="n"/>
      <c r="T29" s="60" t="n"/>
      <c r="U29" s="64" t="n"/>
    </row>
    <row r="30" ht="14.4" customFormat="1" customHeight="1" s="58">
      <c r="A30" s="59" t="n">
        <v>260100109</v>
      </c>
      <c r="B30" s="60" t="n">
        <v>29</v>
      </c>
      <c r="C30" s="66" t="n">
        <v>46164</v>
      </c>
      <c r="D30" s="56" t="inlineStr">
        <is>
          <t>AKAR AUTO INDUSTRIES LIMIT</t>
        </is>
      </c>
      <c r="E30" s="56" t="inlineStr">
        <is>
          <t>E 5 MIDC WALUJ, AURANGABAD</t>
        </is>
      </c>
      <c r="F30" s="56" t="inlineStr">
        <is>
          <t>Mushtaq</t>
        </is>
      </c>
      <c r="G30" s="56" t="n">
        <v>9890997721</v>
      </c>
      <c r="H30" s="60" t="inlineStr">
        <is>
          <t>Sambhaji nagar</t>
        </is>
      </c>
      <c r="I30" s="60" t="inlineStr">
        <is>
          <t>Maharashtra</t>
        </is>
      </c>
      <c r="J30" s="60" t="n">
        <v>19</v>
      </c>
      <c r="K30" s="60" t="n">
        <v>709</v>
      </c>
      <c r="L30" s="60" t="n">
        <v>709</v>
      </c>
      <c r="M30" s="60" t="inlineStr">
        <is>
          <t>Delivered</t>
        </is>
      </c>
      <c r="N30" s="66" t="n">
        <v>46165</v>
      </c>
      <c r="O30" s="65" t="n">
        <v>1</v>
      </c>
      <c r="P30" s="105" t="n">
        <v>10</v>
      </c>
      <c r="Q30" s="105" t="n">
        <v>7000</v>
      </c>
      <c r="R30" s="63" t="n"/>
      <c r="S30" s="60" t="inlineStr">
        <is>
          <t>Third Party</t>
        </is>
      </c>
      <c r="T30" s="60" t="n"/>
      <c r="U30" s="64" t="n">
        <v>5000</v>
      </c>
    </row>
    <row r="31" ht="27.6" customFormat="1" customHeight="1" s="58">
      <c r="A31" s="59" t="n">
        <v>260100110</v>
      </c>
      <c r="B31" s="60" t="n">
        <v>30</v>
      </c>
      <c r="C31" s="66" t="n">
        <v>46164</v>
      </c>
      <c r="D31" s="56" t="inlineStr">
        <is>
          <t>Trimurti Enterprises</t>
        </is>
      </c>
      <c r="E31" s="56" t="inlineStr">
        <is>
          <t>D-143, Five Star, MIDC Shendra, Chatrapati Sambhaji Nagar</t>
        </is>
      </c>
      <c r="F31" s="56" t="inlineStr">
        <is>
          <t>RAVI SIR</t>
        </is>
      </c>
      <c r="G31" s="56" t="n">
        <v>9075094520</v>
      </c>
      <c r="H31" s="60" t="inlineStr">
        <is>
          <t>Sambhaji nagar</t>
        </is>
      </c>
      <c r="I31" s="60" t="inlineStr">
        <is>
          <t>Maharashtra</t>
        </is>
      </c>
      <c r="J31" s="60" t="n">
        <v>150</v>
      </c>
      <c r="K31" s="60" t="n">
        <v>2000</v>
      </c>
      <c r="L31" s="60" t="n">
        <v>2000</v>
      </c>
      <c r="M31" s="60" t="inlineStr">
        <is>
          <t>Delivered</t>
        </is>
      </c>
      <c r="N31" s="66" t="n">
        <v>46165</v>
      </c>
      <c r="O31" s="65" t="n">
        <v>1</v>
      </c>
      <c r="P31" s="105" t="n">
        <v>10</v>
      </c>
      <c r="Q31" s="105" t="n">
        <v>8000</v>
      </c>
      <c r="R31" s="63" t="n"/>
      <c r="S31" s="60" t="inlineStr">
        <is>
          <t>Third Party</t>
        </is>
      </c>
      <c r="T31" s="60" t="n"/>
      <c r="U31" s="64" t="n">
        <v>6000</v>
      </c>
    </row>
    <row r="32" ht="27.6" customFormat="1" customHeight="1" s="58">
      <c r="A32" s="59" t="n">
        <v>260100111</v>
      </c>
      <c r="B32" s="60" t="n">
        <v>31</v>
      </c>
      <c r="C32" s="66" t="n">
        <v>46165</v>
      </c>
      <c r="D32" s="56" t="inlineStr">
        <is>
          <t>FERYEZ POLYMER PVT LTD</t>
        </is>
      </c>
      <c r="E32" s="56" t="inlineStr">
        <is>
          <t>SR.NO.172, CHICHWADGAON, PUNE 411033 MAHARASHTRA</t>
        </is>
      </c>
      <c r="F32" s="56" t="inlineStr">
        <is>
          <t xml:space="preserve">Sandip </t>
        </is>
      </c>
      <c r="G32" s="56" t="n">
        <v>9503161311</v>
      </c>
      <c r="H32" s="60" t="inlineStr">
        <is>
          <t>Pune</t>
        </is>
      </c>
      <c r="I32" s="60" t="inlineStr">
        <is>
          <t>Maharashtra</t>
        </is>
      </c>
      <c r="J32" s="60" t="n">
        <v>14</v>
      </c>
      <c r="K32" s="60" t="n">
        <v>322</v>
      </c>
      <c r="L32" s="60" t="n">
        <v>322</v>
      </c>
      <c r="M32" s="60" t="inlineStr">
        <is>
          <t>Delivered</t>
        </is>
      </c>
      <c r="N32" s="66" t="n">
        <v>46166</v>
      </c>
      <c r="O32" s="65" t="n">
        <v>1</v>
      </c>
      <c r="P32" s="105" t="n">
        <v>10</v>
      </c>
      <c r="Q32" s="105">
        <f>P32*L32</f>
        <v/>
      </c>
      <c r="R32" s="63" t="n"/>
      <c r="S32" s="60" t="n"/>
      <c r="T32" s="60" t="n"/>
      <c r="U32" s="64" t="n"/>
    </row>
    <row r="33" ht="27.6" customFormat="1" customHeight="1" s="58">
      <c r="A33" s="59" t="n">
        <v>260100112</v>
      </c>
      <c r="B33" s="60" t="n">
        <v>32</v>
      </c>
      <c r="C33" s="66" t="n">
        <v>46165</v>
      </c>
      <c r="D33" s="56" t="inlineStr">
        <is>
          <t>PACOLINE INDUSTRIES PRIVATE LIMITED</t>
        </is>
      </c>
      <c r="E33" s="56" t="inlineStr">
        <is>
          <t>21 Hadapsar Indl Estate  Pune 411013</t>
        </is>
      </c>
      <c r="F33" s="56" t="inlineStr">
        <is>
          <t>SOURAV</t>
        </is>
      </c>
      <c r="G33" s="56" t="n">
        <v>9552519571</v>
      </c>
      <c r="H33" s="60" t="inlineStr">
        <is>
          <t>Pune</t>
        </is>
      </c>
      <c r="I33" s="60" t="inlineStr">
        <is>
          <t>Maharashtra</t>
        </is>
      </c>
      <c r="J33" s="60" t="n">
        <v>26</v>
      </c>
      <c r="K33" s="60" t="n">
        <v>285</v>
      </c>
      <c r="L33" s="60" t="n">
        <v>285</v>
      </c>
      <c r="M33" s="60" t="inlineStr">
        <is>
          <t>Delivered</t>
        </is>
      </c>
      <c r="N33" s="66" t="n">
        <v>46166</v>
      </c>
      <c r="O33" s="65" t="n">
        <v>1</v>
      </c>
      <c r="P33" s="105" t="n">
        <v>10</v>
      </c>
      <c r="Q33" s="105">
        <f>P33*L33</f>
        <v/>
      </c>
      <c r="R33" s="63" t="n"/>
      <c r="S33" s="60" t="n"/>
      <c r="T33" s="60" t="n"/>
      <c r="U33" s="64" t="n"/>
    </row>
    <row r="34" ht="27.6" customFormat="1" customHeight="1" s="58">
      <c r="A34" s="59" t="n">
        <v>260100113</v>
      </c>
      <c r="B34" s="60" t="n">
        <v>33</v>
      </c>
      <c r="C34" s="66" t="n">
        <v>46165</v>
      </c>
      <c r="D34" s="56" t="inlineStr">
        <is>
          <t>PACOLINE INDUSTRIES PRIVATE LIMITED</t>
        </is>
      </c>
      <c r="E34" s="56" t="inlineStr">
        <is>
          <t>21 Hadapsar Indl Estate  Pune 411013</t>
        </is>
      </c>
      <c r="F34" s="56" t="inlineStr">
        <is>
          <t>SOURAV</t>
        </is>
      </c>
      <c r="G34" s="56" t="n">
        <v>9552519571</v>
      </c>
      <c r="H34" s="60" t="inlineStr">
        <is>
          <t>Pune</t>
        </is>
      </c>
      <c r="I34" s="60" t="inlineStr">
        <is>
          <t>Maharashtra</t>
        </is>
      </c>
      <c r="J34" s="60" t="n">
        <v>30</v>
      </c>
      <c r="K34" s="60" t="n">
        <v>345</v>
      </c>
      <c r="L34" s="60" t="n">
        <v>345</v>
      </c>
      <c r="M34" s="60" t="inlineStr">
        <is>
          <t>Delivered</t>
        </is>
      </c>
      <c r="N34" s="66" t="n">
        <v>46166</v>
      </c>
      <c r="O34" s="65" t="n">
        <v>1</v>
      </c>
      <c r="P34" s="105" t="n">
        <v>10</v>
      </c>
      <c r="Q34" s="105" t="n">
        <v>6000</v>
      </c>
      <c r="R34" s="63" t="n"/>
      <c r="S34" s="60" t="inlineStr">
        <is>
          <t>Third Party</t>
        </is>
      </c>
      <c r="T34" s="60" t="inlineStr">
        <is>
          <t>RAJESH</t>
        </is>
      </c>
      <c r="U34" s="64" t="n">
        <v>4155</v>
      </c>
    </row>
    <row r="35" ht="14.4" customFormat="1" customHeight="1" s="58">
      <c r="A35" s="59" t="n">
        <v>236223</v>
      </c>
      <c r="B35" s="60" t="n">
        <v>34</v>
      </c>
      <c r="C35" s="66" t="n">
        <v>46165</v>
      </c>
      <c r="D35" s="56" t="inlineStr">
        <is>
          <t xml:space="preserve">NIDHI BHIWANDI </t>
        </is>
      </c>
      <c r="E35" s="56" t="inlineStr">
        <is>
          <t>BENCHMARK PICKUP</t>
        </is>
      </c>
      <c r="F35" s="56" t="inlineStr">
        <is>
          <t>NIDHI</t>
        </is>
      </c>
      <c r="G35" s="56" t="n">
        <v>9769077587</v>
      </c>
      <c r="H35" s="60" t="inlineStr">
        <is>
          <t>BHIWANDI</t>
        </is>
      </c>
      <c r="I35" s="60" t="inlineStr">
        <is>
          <t>Maharashtra</t>
        </is>
      </c>
      <c r="J35" s="60" t="n">
        <v>12</v>
      </c>
      <c r="K35" s="60" t="n">
        <v>73</v>
      </c>
      <c r="L35" s="60" t="n"/>
      <c r="M35" s="60" t="n"/>
      <c r="N35" s="66" t="n"/>
      <c r="O35" s="65" t="n"/>
      <c r="P35" s="105" t="n"/>
      <c r="Q35" s="105" t="n"/>
      <c r="R35" s="63" t="n"/>
      <c r="S35" s="60" t="inlineStr">
        <is>
          <t>STAR GLOBEL</t>
        </is>
      </c>
      <c r="T35" s="60" t="inlineStr">
        <is>
          <t>shree sir</t>
        </is>
      </c>
      <c r="U35" s="64" t="n">
        <v>438</v>
      </c>
    </row>
    <row r="36" ht="27.6" customFormat="1" customHeight="1" s="58">
      <c r="A36" s="59" t="n">
        <v>260100114</v>
      </c>
      <c r="B36" s="60" t="n">
        <v>35</v>
      </c>
      <c r="C36" s="66" t="n">
        <v>46167</v>
      </c>
      <c r="D36" s="56" t="inlineStr">
        <is>
          <t>PACOLINE INDUSTRIES PRIVATE LIMITED</t>
        </is>
      </c>
      <c r="E36" s="56" t="inlineStr">
        <is>
          <t>21 Hadapsar Indl Estate  Pune 411013</t>
        </is>
      </c>
      <c r="F36" s="56" t="inlineStr">
        <is>
          <t>SOURAV</t>
        </is>
      </c>
      <c r="G36" s="56" t="n">
        <v>9552519571</v>
      </c>
      <c r="H36" s="60" t="inlineStr">
        <is>
          <t>Pune</t>
        </is>
      </c>
      <c r="I36" s="60" t="inlineStr">
        <is>
          <t>Maharashtra</t>
        </is>
      </c>
      <c r="J36" s="60" t="n">
        <v>40</v>
      </c>
      <c r="K36" s="60" t="n">
        <v>480</v>
      </c>
      <c r="L36" s="60" t="n">
        <v>480</v>
      </c>
      <c r="M36" s="60" t="inlineStr">
        <is>
          <t>Delivered</t>
        </is>
      </c>
      <c r="N36" s="66" t="n">
        <v>46167</v>
      </c>
      <c r="O36" s="65" t="n">
        <v>0</v>
      </c>
      <c r="P36" s="105" t="n">
        <v>10</v>
      </c>
      <c r="Q36" s="105" t="n">
        <v>6000</v>
      </c>
      <c r="R36" s="63" t="n"/>
      <c r="S36" s="60" t="inlineStr">
        <is>
          <t>Third Party</t>
        </is>
      </c>
      <c r="T36" s="60" t="inlineStr">
        <is>
          <t>RAJESH</t>
        </is>
      </c>
      <c r="U36" s="64" t="n">
        <v>4155</v>
      </c>
    </row>
    <row r="37" ht="27.6" customFormat="1" customHeight="1" s="58">
      <c r="A37" s="59" t="n">
        <v>260100115</v>
      </c>
      <c r="B37" s="60" t="n">
        <v>36</v>
      </c>
      <c r="C37" s="66" t="n">
        <v>46167</v>
      </c>
      <c r="D37" s="56" t="inlineStr">
        <is>
          <t>PACOLINE INDUSTRIES PRIVATE LIMITED</t>
        </is>
      </c>
      <c r="E37" s="56" t="inlineStr">
        <is>
          <t>21 Hadapsar Indl Estate  Pune 411013</t>
        </is>
      </c>
      <c r="F37" s="56" t="inlineStr">
        <is>
          <t>SOURAV</t>
        </is>
      </c>
      <c r="G37" s="56" t="n">
        <v>9552519571</v>
      </c>
      <c r="H37" s="60" t="inlineStr">
        <is>
          <t>Pune</t>
        </is>
      </c>
      <c r="I37" s="60" t="inlineStr">
        <is>
          <t>Maharashtra</t>
        </is>
      </c>
      <c r="J37" s="60" t="n">
        <v>20</v>
      </c>
      <c r="K37" s="60" t="n">
        <v>241</v>
      </c>
      <c r="L37" s="60" t="n">
        <v>241</v>
      </c>
      <c r="M37" s="60" t="inlineStr">
        <is>
          <t>Delivered</t>
        </is>
      </c>
      <c r="N37" s="66" t="n">
        <v>46168</v>
      </c>
      <c r="O37" s="65" t="n">
        <v>1</v>
      </c>
      <c r="P37" s="105" t="n">
        <v>10</v>
      </c>
      <c r="Q37" s="105" t="n">
        <v>3500</v>
      </c>
      <c r="R37" s="63" t="n"/>
      <c r="S37" s="60" t="n"/>
      <c r="T37" s="60" t="n"/>
      <c r="U37" s="64" t="n"/>
    </row>
    <row r="38" ht="41.4" customFormat="1" customHeight="1" s="58">
      <c r="A38" s="59" t="n">
        <v>260100116</v>
      </c>
      <c r="B38" s="60" t="n">
        <v>37</v>
      </c>
      <c r="C38" s="66" t="n">
        <v>46167</v>
      </c>
      <c r="D38" s="56" t="inlineStr">
        <is>
          <t>NIKY PRECISION(MULAY POLYMERS PVT. LTD.)</t>
        </is>
      </c>
      <c r="E38" s="56" t="inlineStr">
        <is>
          <t>Gat No 679/2/1 Plot No. 30/6, Chakan Alandi Road, Tal.-Khed Dist.-Pune-410501.</t>
        </is>
      </c>
      <c r="F38" s="56" t="inlineStr">
        <is>
          <t xml:space="preserve">Rajkumar </t>
        </is>
      </c>
      <c r="G38" s="56" t="n">
        <v>9156575795</v>
      </c>
      <c r="H38" s="60" t="inlineStr">
        <is>
          <t>Pune</t>
        </is>
      </c>
      <c r="I38" s="60" t="inlineStr">
        <is>
          <t>Maharashtra</t>
        </is>
      </c>
      <c r="J38" s="60" t="n">
        <v>0</v>
      </c>
      <c r="K38" s="60" t="n">
        <v>122</v>
      </c>
      <c r="L38" s="60" t="n">
        <v>122</v>
      </c>
      <c r="M38" s="60" t="inlineStr">
        <is>
          <t>Delivered</t>
        </is>
      </c>
      <c r="N38" s="66" t="n">
        <v>46168</v>
      </c>
      <c r="O38" s="65" t="n">
        <v>1</v>
      </c>
      <c r="P38" s="105" t="n">
        <v>10</v>
      </c>
      <c r="Q38" s="105">
        <f>P38*L38</f>
        <v/>
      </c>
      <c r="R38" s="63" t="n"/>
      <c r="S38" s="60" t="n"/>
      <c r="T38" s="60" t="n"/>
      <c r="U38" s="64" t="n"/>
    </row>
    <row r="39" ht="14.4" customFormat="1" customHeight="1" s="58">
      <c r="A39" s="59" t="n">
        <v>260100117</v>
      </c>
      <c r="B39" s="60" t="n">
        <v>38</v>
      </c>
      <c r="C39" s="66" t="n">
        <v>46167</v>
      </c>
      <c r="D39" s="56" t="inlineStr">
        <is>
          <t>Lumax industries</t>
        </is>
      </c>
      <c r="E39" s="56" t="inlineStr">
        <is>
          <t>D2/43-44 MIDC INDL Area Chinchwad</t>
        </is>
      </c>
      <c r="F39" s="56" t="inlineStr">
        <is>
          <t>Sandeep</t>
        </is>
      </c>
      <c r="G39" s="56" t="n">
        <v>9657704906</v>
      </c>
      <c r="H39" s="60" t="inlineStr">
        <is>
          <t>Pune</t>
        </is>
      </c>
      <c r="I39" s="60" t="inlineStr">
        <is>
          <t>Maharashtra</t>
        </is>
      </c>
      <c r="J39" s="60" t="n">
        <v>3</v>
      </c>
      <c r="K39" s="60" t="inlineStr">
        <is>
          <t xml:space="preserve">. </t>
        </is>
      </c>
      <c r="L39" s="60" t="n">
        <v>45</v>
      </c>
      <c r="M39" s="60" t="inlineStr">
        <is>
          <t>Delivered</t>
        </is>
      </c>
      <c r="N39" s="66" t="n">
        <v>46168</v>
      </c>
      <c r="O39" s="65" t="n">
        <v>1</v>
      </c>
      <c r="P39" s="105" t="n">
        <v>10</v>
      </c>
      <c r="Q39" s="105">
        <f>P39*L39</f>
        <v/>
      </c>
      <c r="R39" s="63" t="n"/>
      <c r="S39" s="60" t="n"/>
      <c r="T39" s="60" t="n"/>
      <c r="U39" s="64" t="n"/>
    </row>
    <row r="40" ht="41.4" customFormat="1" customHeight="1" s="58">
      <c r="A40" s="59" t="n">
        <v>260100118</v>
      </c>
      <c r="B40" s="60" t="n">
        <v>39</v>
      </c>
      <c r="C40" s="66" t="n">
        <v>46168</v>
      </c>
      <c r="D40" s="56" t="inlineStr">
        <is>
          <t>THANUSAR ENTERPRISES</t>
        </is>
      </c>
      <c r="E40" s="56" t="inlineStr">
        <is>
          <t>PLOT NO 4/50, ADHAR INDUSTRIAL PREMISES, SECTOR NO 10 MIDC, BHOSARI PUNE</t>
        </is>
      </c>
      <c r="F40" s="56" t="inlineStr">
        <is>
          <t>Vishnu/kiran</t>
        </is>
      </c>
      <c r="G40" s="54" t="inlineStr">
        <is>
          <t>9036230620 / 9003133891</t>
        </is>
      </c>
      <c r="H40" s="60" t="inlineStr">
        <is>
          <t>Pune</t>
        </is>
      </c>
      <c r="I40" s="60" t="inlineStr">
        <is>
          <t>Maharashtra</t>
        </is>
      </c>
      <c r="J40" s="60" t="n">
        <v>12</v>
      </c>
      <c r="K40" s="60" t="n">
        <v>229</v>
      </c>
      <c r="L40" s="60" t="n">
        <v>229</v>
      </c>
      <c r="M40" s="60" t="inlineStr">
        <is>
          <t>Delivered</t>
        </is>
      </c>
      <c r="N40" s="66" t="n">
        <v>46169</v>
      </c>
      <c r="O40" s="65" t="n">
        <v>1</v>
      </c>
      <c r="P40" s="105" t="n">
        <v>10</v>
      </c>
      <c r="Q40" s="105">
        <f>P40*L40</f>
        <v/>
      </c>
      <c r="R40" s="63" t="n"/>
      <c r="S40" s="60" t="n"/>
      <c r="T40" s="60" t="n"/>
      <c r="U40" s="64" t="n"/>
    </row>
    <row r="41" ht="27.6" customFormat="1" customHeight="1" s="58">
      <c r="A41" s="59" t="n">
        <v>260100119</v>
      </c>
      <c r="B41" s="60" t="n">
        <v>40</v>
      </c>
      <c r="C41" s="66" t="n">
        <v>46169</v>
      </c>
      <c r="D41" s="56" t="inlineStr">
        <is>
          <t>PACOLINE INDUSTRIES PRIVATE LIMITED</t>
        </is>
      </c>
      <c r="E41" s="56" t="inlineStr">
        <is>
          <t>21 Hadapsar Indl Estate  Pune 411013</t>
        </is>
      </c>
      <c r="F41" s="56" t="inlineStr">
        <is>
          <t>SOURAV</t>
        </is>
      </c>
      <c r="G41" s="56" t="n">
        <v>9552519571</v>
      </c>
      <c r="H41" s="60" t="inlineStr">
        <is>
          <t>Pune</t>
        </is>
      </c>
      <c r="I41" s="60" t="inlineStr">
        <is>
          <t>Maharashtra</t>
        </is>
      </c>
      <c r="J41" s="60" t="n">
        <v>21</v>
      </c>
      <c r="K41" s="60" t="n">
        <v>238</v>
      </c>
      <c r="L41" s="60" t="n">
        <v>238</v>
      </c>
      <c r="M41" s="60" t="inlineStr">
        <is>
          <t>Delivered</t>
        </is>
      </c>
      <c r="N41" s="66" t="n">
        <v>46169</v>
      </c>
      <c r="O41" s="65" t="n">
        <v>0</v>
      </c>
      <c r="P41" s="105" t="n">
        <v>10</v>
      </c>
      <c r="Q41" s="105" t="n">
        <v>3500</v>
      </c>
      <c r="R41" s="63" t="n"/>
      <c r="S41" s="60" t="n"/>
      <c r="T41" s="60" t="n"/>
      <c r="U41" s="64" t="n"/>
    </row>
    <row r="42" ht="41.4" customFormat="1" customHeight="1" s="58">
      <c r="A42" s="59" t="n">
        <v>260100120</v>
      </c>
      <c r="B42" s="60" t="n">
        <v>41</v>
      </c>
      <c r="C42" s="66" t="n">
        <v>46170</v>
      </c>
      <c r="D42" s="56" t="inlineStr">
        <is>
          <t>NIKY PRECISION ENGINEERS PRIVATE LIMITED</t>
        </is>
      </c>
      <c r="E42" s="56" t="inlineStr">
        <is>
          <t xml:space="preserve"> PLOT NO 15, GALA NO 1, 3, 5, 7, PLOT NO 9, S NO 38/2/18, 16, NARHE, PUNE-411041</t>
        </is>
      </c>
      <c r="F42" s="56" t="inlineStr">
        <is>
          <t>Jeevan</t>
        </is>
      </c>
      <c r="G42" s="56" t="n">
        <v>8446006021</v>
      </c>
      <c r="H42" s="60" t="inlineStr">
        <is>
          <t>Pune</t>
        </is>
      </c>
      <c r="I42" s="60" t="inlineStr">
        <is>
          <t>Maharashtra</t>
        </is>
      </c>
      <c r="J42" s="60" t="n">
        <v>17</v>
      </c>
      <c r="K42" s="60" t="n">
        <v>155</v>
      </c>
      <c r="L42" s="60" t="n">
        <v>155</v>
      </c>
      <c r="M42" s="60" t="inlineStr">
        <is>
          <t>Delivered</t>
        </is>
      </c>
      <c r="N42" s="66" t="n">
        <v>46171</v>
      </c>
      <c r="O42" s="65" t="n">
        <v>1</v>
      </c>
      <c r="P42" s="105" t="n">
        <v>10</v>
      </c>
      <c r="Q42" s="105">
        <f>P42*L42</f>
        <v/>
      </c>
      <c r="R42" s="63" t="n"/>
      <c r="S42" s="60" t="n"/>
      <c r="T42" s="60" t="n"/>
      <c r="U42" s="64" t="n"/>
    </row>
    <row r="43" ht="41.4" customFormat="1" customHeight="1" s="58">
      <c r="A43" s="59" t="n">
        <v>260100121</v>
      </c>
      <c r="B43" s="60" t="n">
        <v>42</v>
      </c>
      <c r="C43" s="66" t="n">
        <v>46169</v>
      </c>
      <c r="D43" s="56" t="inlineStr">
        <is>
          <t>LALIT INDUSTRIES BULIDING</t>
        </is>
      </c>
      <c r="E43" s="56" t="inlineStr">
        <is>
          <t>NO.6, GALA NO 101, MITTAL INDUSTRIES ESTATE, ANDHERI KURLA ROAD, M.V. ROAD, MUMBAI 400059</t>
        </is>
      </c>
      <c r="F43" s="63" t="inlineStr">
        <is>
          <t>Rakesh</t>
        </is>
      </c>
      <c r="G43" s="56" t="n">
        <v>7021056086</v>
      </c>
      <c r="H43" s="60" t="inlineStr">
        <is>
          <t>Mumbai</t>
        </is>
      </c>
      <c r="I43" s="60" t="inlineStr">
        <is>
          <t>Maharashtra</t>
        </is>
      </c>
      <c r="J43" s="60" t="n">
        <v>138</v>
      </c>
      <c r="K43" s="60" t="n">
        <v>1900</v>
      </c>
      <c r="L43" s="60" t="n">
        <v>1900</v>
      </c>
      <c r="M43" s="60" t="inlineStr">
        <is>
          <t>Delivered</t>
        </is>
      </c>
      <c r="N43" s="66" t="n">
        <v>46170</v>
      </c>
      <c r="O43" s="65" t="n">
        <v>1</v>
      </c>
      <c r="P43" s="105" t="n">
        <v>10</v>
      </c>
      <c r="Q43" s="105" t="n">
        <v>16000</v>
      </c>
      <c r="R43" s="63" t="n"/>
      <c r="S43" s="60" t="inlineStr">
        <is>
          <t>Third Party</t>
        </is>
      </c>
      <c r="T43" s="60" t="inlineStr">
        <is>
          <t>somnath</t>
        </is>
      </c>
      <c r="U43" s="64" t="n">
        <v>11000</v>
      </c>
    </row>
    <row r="44" ht="27.6" customFormat="1" customHeight="1" s="58">
      <c r="A44" s="59" t="n">
        <v>260100122</v>
      </c>
      <c r="B44" s="60" t="n">
        <v>43</v>
      </c>
      <c r="C44" s="66" t="n">
        <v>46170</v>
      </c>
      <c r="D44" s="56" t="inlineStr">
        <is>
          <t>PACOLINE INDUSTRIES PRIVATE LIMITED</t>
        </is>
      </c>
      <c r="E44" s="56" t="inlineStr">
        <is>
          <t>21 Hadapsar Indl Estate  Pune 411013</t>
        </is>
      </c>
      <c r="F44" s="56" t="inlineStr">
        <is>
          <t>SOURAV</t>
        </is>
      </c>
      <c r="G44" s="56" t="n">
        <v>9552519571</v>
      </c>
      <c r="H44" s="60" t="inlineStr">
        <is>
          <t>Pune</t>
        </is>
      </c>
      <c r="I44" s="60" t="inlineStr">
        <is>
          <t>Maharashtra</t>
        </is>
      </c>
      <c r="J44" s="60" t="n">
        <v>30</v>
      </c>
      <c r="K44" s="60" t="n">
        <v>355</v>
      </c>
      <c r="L44" s="60" t="n">
        <v>355</v>
      </c>
      <c r="M44" s="60" t="inlineStr">
        <is>
          <t>Delivered</t>
        </is>
      </c>
      <c r="N44" s="66" t="n">
        <v>46171</v>
      </c>
      <c r="O44" s="65" t="n">
        <v>1</v>
      </c>
      <c r="P44" s="105" t="n">
        <v>10</v>
      </c>
      <c r="Q44" s="105">
        <f>P44*L44</f>
        <v/>
      </c>
      <c r="R44" s="63" t="n"/>
      <c r="S44" s="60" t="n"/>
      <c r="T44" s="60" t="n"/>
      <c r="U44" s="64" t="n"/>
    </row>
    <row r="45" ht="27.6" customFormat="1" customHeight="1" s="58">
      <c r="A45" s="59" t="n">
        <v>260100123</v>
      </c>
      <c r="B45" s="60" t="n">
        <v>44</v>
      </c>
      <c r="C45" s="66" t="n">
        <v>46171</v>
      </c>
      <c r="D45" s="56" t="inlineStr">
        <is>
          <t>TANISHQ PRECISION FASTENERS LLP</t>
        </is>
      </c>
      <c r="E45" s="56" t="inlineStr">
        <is>
          <t>GAT NO – 877, NIGHOJE, TAL -KHED, CHAKAN, PUNE-410501</t>
        </is>
      </c>
      <c r="F45" s="56" t="inlineStr">
        <is>
          <t>Sanjay</t>
        </is>
      </c>
      <c r="G45" s="56" t="n">
        <v>9579951621</v>
      </c>
      <c r="H45" s="60" t="inlineStr">
        <is>
          <t>Pune</t>
        </is>
      </c>
      <c r="I45" s="60" t="inlineStr">
        <is>
          <t>Maharashtra</t>
        </is>
      </c>
      <c r="J45" s="60" t="n">
        <v>7</v>
      </c>
      <c r="K45" s="60" t="n">
        <v>129</v>
      </c>
      <c r="L45" s="60" t="n">
        <v>129</v>
      </c>
      <c r="M45" s="60" t="inlineStr">
        <is>
          <t>Delivered</t>
        </is>
      </c>
      <c r="N45" s="66" t="n">
        <v>46172</v>
      </c>
      <c r="O45" s="65" t="n">
        <v>1</v>
      </c>
      <c r="P45" s="105" t="n">
        <v>10</v>
      </c>
      <c r="Q45" s="105">
        <f>P45*L45</f>
        <v/>
      </c>
      <c r="R45" s="63" t="n"/>
      <c r="S45" s="60" t="n"/>
      <c r="T45" s="60" t="n"/>
      <c r="U45" s="64" t="n"/>
    </row>
    <row r="46" ht="41.4" customFormat="1" customHeight="1" s="58">
      <c r="A46" s="59" t="n">
        <v>260100124</v>
      </c>
      <c r="B46" s="60" t="n">
        <v>45</v>
      </c>
      <c r="C46" s="66" t="n">
        <v>46171</v>
      </c>
      <c r="D46" s="56" t="inlineStr">
        <is>
          <t>NIKY PRECISION(MULAY POLYMERS PVT. LTD.)</t>
        </is>
      </c>
      <c r="E46" s="56" t="inlineStr">
        <is>
          <t>Gat No 679/2/1 Plot No. 30/6, Chakan Alandi Road, Tal.-Khed Dist.-Pune-410501.</t>
        </is>
      </c>
      <c r="F46" s="56" t="inlineStr">
        <is>
          <t xml:space="preserve">Rajkumar </t>
        </is>
      </c>
      <c r="G46" s="56" t="n">
        <v>9156575795</v>
      </c>
      <c r="H46" s="60" t="inlineStr">
        <is>
          <t>Pune</t>
        </is>
      </c>
      <c r="I46" s="60" t="inlineStr">
        <is>
          <t>Maharashtra</t>
        </is>
      </c>
      <c r="J46" s="60" t="n">
        <v>46</v>
      </c>
      <c r="K46" s="60" t="n">
        <v>438</v>
      </c>
      <c r="L46" s="60" t="n">
        <v>438</v>
      </c>
      <c r="M46" s="60" t="inlineStr">
        <is>
          <t>Delivered</t>
        </is>
      </c>
      <c r="N46" s="66" t="n">
        <v>46172</v>
      </c>
      <c r="O46" s="65" t="n">
        <v>1</v>
      </c>
      <c r="P46" s="105" t="n">
        <v>10</v>
      </c>
      <c r="Q46" s="105">
        <f>P46*L46</f>
        <v/>
      </c>
      <c r="R46" s="63" t="n"/>
      <c r="S46" s="60" t="n"/>
      <c r="T46" s="60" t="n"/>
      <c r="U46" s="64" t="n"/>
    </row>
    <row r="47" ht="27.6" customFormat="1" customHeight="1" s="58">
      <c r="A47" s="59" t="n">
        <v>260100125</v>
      </c>
      <c r="B47" s="60" t="n">
        <v>46</v>
      </c>
      <c r="C47" s="66" t="inlineStr">
        <is>
          <t>30-5-026</t>
        </is>
      </c>
      <c r="D47" s="56" t="inlineStr">
        <is>
          <t>PACOLINE INDUSTRIES PRIVATE LIMITED</t>
        </is>
      </c>
      <c r="E47" s="56" t="inlineStr">
        <is>
          <t>21 Hadapsar Indl Estate  Pune 411013</t>
        </is>
      </c>
      <c r="F47" s="56" t="inlineStr">
        <is>
          <t>SOURAV</t>
        </is>
      </c>
      <c r="G47" s="56" t="n">
        <v>9552519571</v>
      </c>
      <c r="H47" s="60" t="inlineStr">
        <is>
          <t>Pune</t>
        </is>
      </c>
      <c r="I47" s="60" t="inlineStr">
        <is>
          <t>Maharashtra</t>
        </is>
      </c>
      <c r="J47" s="60" t="n">
        <v>30</v>
      </c>
      <c r="K47" s="60" t="n">
        <v>355</v>
      </c>
      <c r="L47" s="60" t="n">
        <v>355</v>
      </c>
      <c r="M47" s="60" t="inlineStr">
        <is>
          <t>Delivered</t>
        </is>
      </c>
      <c r="N47" s="66" t="n">
        <v>46173</v>
      </c>
      <c r="O47" s="65" t="n">
        <v>1</v>
      </c>
      <c r="P47" s="105" t="n">
        <v>10</v>
      </c>
      <c r="Q47" s="105" t="n">
        <v>5000</v>
      </c>
      <c r="R47" s="63" t="n"/>
      <c r="S47" s="60" t="inlineStr">
        <is>
          <t>SELF</t>
        </is>
      </c>
      <c r="T47" s="60" t="inlineStr">
        <is>
          <t>FLT</t>
        </is>
      </c>
      <c r="U47" s="64" t="n">
        <v>0</v>
      </c>
    </row>
    <row r="48" ht="27.6" customFormat="1" customHeight="1" s="58">
      <c r="A48" s="59" t="n"/>
      <c r="B48" s="60" t="n"/>
      <c r="C48" s="66" t="n"/>
      <c r="D48" s="56" t="inlineStr">
        <is>
          <t xml:space="preserve">   2 SUNDAY BARAMTI DRAVER CHARGES</t>
        </is>
      </c>
      <c r="E48" s="56" t="n"/>
      <c r="F48" s="56" t="n"/>
      <c r="G48" s="56" t="n"/>
      <c r="H48" s="60" t="n"/>
      <c r="I48" s="60" t="n"/>
      <c r="J48" s="60" t="n"/>
      <c r="K48" s="60" t="n"/>
      <c r="L48" s="60" t="n"/>
      <c r="M48" s="60" t="n"/>
      <c r="N48" s="66" t="n"/>
      <c r="O48" s="65" t="n"/>
      <c r="P48" s="105" t="n">
        <v>10</v>
      </c>
      <c r="Q48" s="105" t="n">
        <v>2000</v>
      </c>
      <c r="R48" s="63" t="n"/>
      <c r="S48" s="60" t="n"/>
      <c r="T48" s="60" t="n"/>
      <c r="U48" s="64" t="n"/>
    </row>
    <row r="49" ht="14.4" customFormat="1" customHeight="1" s="58">
      <c r="A49" s="59" t="n"/>
      <c r="B49" s="60" t="n"/>
      <c r="C49" s="66" t="n"/>
      <c r="D49" s="56" t="n"/>
      <c r="E49" s="56" t="n"/>
      <c r="F49" s="56" t="n"/>
      <c r="G49" s="56" t="n"/>
      <c r="H49" s="60" t="n"/>
      <c r="I49" s="60" t="n"/>
      <c r="J49" s="60" t="n"/>
      <c r="K49" s="60" t="n"/>
      <c r="L49" s="60" t="n"/>
      <c r="M49" s="60" t="n"/>
      <c r="N49" s="66" t="n"/>
      <c r="O49" s="65" t="n"/>
      <c r="P49" s="105" t="n">
        <v>10</v>
      </c>
      <c r="Q49" s="105">
        <f>P49*L49</f>
        <v/>
      </c>
      <c r="R49" s="63" t="n"/>
      <c r="S49" s="60" t="n"/>
      <c r="T49" s="60" t="n"/>
      <c r="U49" s="64" t="n"/>
    </row>
    <row r="50" ht="14.4" customFormat="1" customHeight="1" s="58">
      <c r="A50" s="59" t="n"/>
      <c r="B50" s="60" t="n"/>
      <c r="C50" s="66" t="n"/>
      <c r="D50" s="56" t="n"/>
      <c r="E50" s="56" t="n"/>
      <c r="F50" s="56" t="n"/>
      <c r="G50" s="56" t="n"/>
      <c r="H50" s="60" t="n"/>
      <c r="I50" s="60" t="n"/>
      <c r="J50" s="60" t="n"/>
      <c r="K50" s="60" t="n"/>
      <c r="L50" s="60" t="n"/>
      <c r="M50" s="60" t="n"/>
      <c r="N50" s="66" t="n"/>
      <c r="O50" s="65" t="n"/>
      <c r="P50" s="105" t="n">
        <v>10</v>
      </c>
      <c r="Q50" s="105">
        <f>P50*L50</f>
        <v/>
      </c>
      <c r="R50" s="63" t="n"/>
      <c r="S50" s="60" t="n"/>
      <c r="T50" s="60" t="n"/>
      <c r="U50" s="64" t="n"/>
    </row>
    <row r="51" ht="14.4" customFormat="1" customHeight="1" s="58">
      <c r="A51" s="59" t="n"/>
      <c r="B51" s="60" t="n"/>
      <c r="C51" s="66" t="n"/>
      <c r="D51" s="56" t="n"/>
      <c r="E51" s="56" t="n"/>
      <c r="F51" s="56" t="n"/>
      <c r="G51" s="56" t="n"/>
      <c r="H51" s="60" t="n"/>
      <c r="I51" s="60" t="n"/>
      <c r="J51" s="60" t="n"/>
      <c r="K51" s="60" t="n"/>
      <c r="L51" s="60" t="n"/>
      <c r="M51" s="60" t="n"/>
      <c r="N51" s="66" t="n"/>
      <c r="O51" s="65" t="n"/>
      <c r="P51" s="105" t="n">
        <v>10</v>
      </c>
      <c r="Q51" s="105">
        <f>P51*L51</f>
        <v/>
      </c>
      <c r="R51" s="63" t="n"/>
      <c r="S51" s="60" t="n"/>
      <c r="T51" s="60" t="n"/>
      <c r="U51" s="64" t="n"/>
    </row>
    <row r="52" ht="14.4" customFormat="1" customHeight="1" s="58">
      <c r="A52" s="59" t="n"/>
      <c r="B52" s="60" t="n"/>
      <c r="C52" s="66" t="n"/>
      <c r="D52" s="56" t="n"/>
      <c r="E52" s="56" t="n"/>
      <c r="F52" s="56" t="n"/>
      <c r="G52" s="54" t="n"/>
      <c r="H52" s="60" t="n"/>
      <c r="I52" s="60" t="n"/>
      <c r="J52" s="60" t="n"/>
      <c r="K52" s="60" t="n"/>
      <c r="L52" s="60" t="n"/>
      <c r="M52" s="60" t="n"/>
      <c r="N52" s="66" t="n"/>
      <c r="O52" s="65" t="n"/>
      <c r="P52" s="105" t="n">
        <v>10</v>
      </c>
      <c r="Q52" s="105">
        <f>P52*L52</f>
        <v/>
      </c>
      <c r="R52" s="63" t="n"/>
      <c r="S52" s="60" t="n"/>
      <c r="T52" s="60" t="n"/>
      <c r="U52" s="64" t="n"/>
    </row>
    <row r="53" ht="14.4" customFormat="1" customHeight="1" s="58">
      <c r="A53" s="59" t="n"/>
      <c r="B53" s="60" t="n"/>
      <c r="C53" s="66" t="n"/>
      <c r="D53" s="56" t="n"/>
      <c r="E53" s="56" t="n"/>
      <c r="F53" s="56" t="n"/>
      <c r="G53" s="56" t="n"/>
      <c r="H53" s="60" t="n"/>
      <c r="I53" s="60" t="n"/>
      <c r="J53" s="60" t="n"/>
      <c r="K53" s="60" t="n"/>
      <c r="L53" s="60" t="n"/>
      <c r="M53" s="60" t="n"/>
      <c r="N53" s="66" t="n"/>
      <c r="O53" s="65" t="n"/>
      <c r="P53" s="105" t="n">
        <v>10</v>
      </c>
      <c r="Q53" s="105">
        <f>P53*L53</f>
        <v/>
      </c>
      <c r="R53" s="63" t="n"/>
      <c r="S53" s="60" t="n"/>
      <c r="T53" s="60" t="n"/>
      <c r="U53" s="64" t="n"/>
    </row>
    <row r="54" ht="14.4" customFormat="1" customHeight="1" s="58">
      <c r="A54" s="59" t="n"/>
      <c r="B54" s="60" t="n"/>
      <c r="C54" s="66" t="n"/>
      <c r="D54" s="56" t="n"/>
      <c r="E54" s="56" t="n"/>
      <c r="F54" s="56" t="n"/>
      <c r="G54" s="54" t="n"/>
      <c r="H54" s="60" t="n"/>
      <c r="I54" s="60" t="n"/>
      <c r="J54" s="60" t="n"/>
      <c r="K54" s="60" t="n"/>
      <c r="L54" s="60" t="n"/>
      <c r="M54" s="60" t="n"/>
      <c r="N54" s="66" t="n"/>
      <c r="O54" s="65" t="n"/>
      <c r="P54" s="105" t="n">
        <v>10</v>
      </c>
      <c r="Q54" s="105">
        <f>P54*L54</f>
        <v/>
      </c>
      <c r="R54" s="63" t="n"/>
      <c r="S54" s="60" t="n"/>
      <c r="T54" s="60" t="n"/>
      <c r="U54" s="64" t="n"/>
    </row>
    <row r="55" ht="14.4" customFormat="1" customHeight="1" s="58">
      <c r="A55" s="59" t="n"/>
      <c r="B55" s="60" t="n"/>
      <c r="C55" s="66" t="n"/>
      <c r="D55" s="56" t="n"/>
      <c r="E55" s="56" t="n"/>
      <c r="F55" s="56" t="n"/>
      <c r="G55" s="56" t="n"/>
      <c r="H55" s="60" t="n"/>
      <c r="I55" s="60" t="n"/>
      <c r="J55" s="60" t="n"/>
      <c r="K55" s="60" t="n"/>
      <c r="L55" s="60" t="n"/>
      <c r="M55" s="60" t="n"/>
      <c r="N55" s="66" t="n"/>
      <c r="O55" s="65" t="n"/>
      <c r="P55" s="105" t="n">
        <v>10</v>
      </c>
      <c r="Q55" s="105">
        <f>P55*L55</f>
        <v/>
      </c>
      <c r="R55" s="63" t="n"/>
      <c r="S55" s="60" t="n"/>
      <c r="T55" s="60" t="n"/>
      <c r="U55" s="64" t="n"/>
    </row>
    <row r="56" ht="14.4" customFormat="1" customHeight="1" s="58">
      <c r="A56" s="59" t="n"/>
      <c r="B56" s="60" t="n"/>
      <c r="C56" s="66" t="n"/>
      <c r="D56" s="56" t="n"/>
      <c r="E56" s="56" t="n"/>
      <c r="F56" s="56" t="n"/>
      <c r="G56" s="56" t="n"/>
      <c r="H56" s="60" t="n"/>
      <c r="I56" s="60" t="n"/>
      <c r="J56" s="60" t="n"/>
      <c r="K56" s="60" t="n"/>
      <c r="L56" s="60" t="n"/>
      <c r="M56" s="60" t="n"/>
      <c r="N56" s="66" t="n"/>
      <c r="O56" s="65" t="n"/>
      <c r="P56" s="105" t="n">
        <v>10</v>
      </c>
      <c r="Q56" s="105">
        <f>P56*L56</f>
        <v/>
      </c>
      <c r="R56" s="63" t="n"/>
      <c r="S56" s="60" t="n"/>
      <c r="T56" s="60" t="n"/>
      <c r="U56" s="64" t="n"/>
    </row>
    <row r="57" ht="14.4" customFormat="1" customHeight="1" s="58">
      <c r="A57" s="59" t="n"/>
      <c r="B57" s="60" t="n"/>
      <c r="C57" s="66" t="n"/>
      <c r="D57" s="56" t="n"/>
      <c r="E57" s="56" t="n"/>
      <c r="F57" s="56" t="n"/>
      <c r="G57" s="56" t="n"/>
      <c r="H57" s="60" t="n"/>
      <c r="I57" s="60" t="n"/>
      <c r="J57" s="60" t="n"/>
      <c r="K57" s="60" t="n"/>
      <c r="L57" s="60" t="n"/>
      <c r="M57" s="60" t="n"/>
      <c r="N57" s="66" t="n"/>
      <c r="O57" s="65" t="n"/>
      <c r="P57" s="105" t="n">
        <v>10</v>
      </c>
      <c r="Q57" s="105">
        <f>P57*L57</f>
        <v/>
      </c>
      <c r="R57" s="63" t="n"/>
      <c r="S57" s="60" t="n"/>
      <c r="T57" s="60" t="n"/>
      <c r="U57" s="64" t="n"/>
    </row>
    <row r="58" ht="14.4" customFormat="1" customHeight="1" s="58">
      <c r="A58" s="59" t="n"/>
      <c r="B58" s="60" t="n"/>
      <c r="C58" s="66" t="n"/>
      <c r="D58" s="56" t="n"/>
      <c r="E58" s="56" t="n"/>
      <c r="F58" s="56" t="n"/>
      <c r="G58" s="54" t="n"/>
      <c r="H58" s="60" t="n"/>
      <c r="I58" s="60" t="n"/>
      <c r="J58" s="60" t="n"/>
      <c r="K58" s="60" t="n"/>
      <c r="L58" s="60" t="n"/>
      <c r="M58" s="60" t="n"/>
      <c r="N58" s="66" t="n"/>
      <c r="O58" s="65" t="n"/>
      <c r="P58" s="105" t="n">
        <v>10</v>
      </c>
      <c r="Q58" s="105">
        <f>P58*L58</f>
        <v/>
      </c>
      <c r="R58" s="63" t="n"/>
      <c r="S58" s="60" t="n"/>
      <c r="T58" s="60" t="n"/>
      <c r="U58" s="64" t="n"/>
    </row>
    <row r="59" ht="14.4" customFormat="1" customHeight="1" s="58">
      <c r="A59" s="59" t="n"/>
      <c r="B59" s="60" t="n"/>
      <c r="C59" s="66" t="n"/>
      <c r="D59" s="56" t="n"/>
      <c r="E59" s="56" t="n"/>
      <c r="F59" s="56" t="n"/>
      <c r="G59" s="56" t="n"/>
      <c r="H59" s="60" t="n"/>
      <c r="I59" s="60" t="n"/>
      <c r="J59" s="60" t="n"/>
      <c r="K59" s="60" t="n"/>
      <c r="L59" s="60" t="n"/>
      <c r="M59" s="60" t="n"/>
      <c r="N59" s="66" t="n"/>
      <c r="O59" s="65" t="n"/>
      <c r="P59" s="105" t="n">
        <v>10</v>
      </c>
      <c r="Q59" s="105">
        <f>P59*L59</f>
        <v/>
      </c>
      <c r="R59" s="63" t="n"/>
      <c r="S59" s="60" t="n"/>
      <c r="T59" s="60" t="n"/>
      <c r="U59" s="64" t="n"/>
    </row>
    <row r="60" ht="14.4" customFormat="1" customHeight="1" s="58">
      <c r="A60" s="59" t="n"/>
      <c r="B60" s="60" t="n"/>
      <c r="C60" s="66" t="n"/>
      <c r="D60" s="56" t="n"/>
      <c r="E60" s="56" t="n"/>
      <c r="F60" s="56" t="n"/>
      <c r="G60" s="56" t="n"/>
      <c r="H60" s="60" t="n"/>
      <c r="I60" s="60" t="n"/>
      <c r="J60" s="60" t="n"/>
      <c r="K60" s="60" t="n"/>
      <c r="L60" s="60" t="n"/>
      <c r="M60" s="60" t="n"/>
      <c r="N60" s="66" t="n"/>
      <c r="O60" s="65" t="n"/>
      <c r="P60" s="105" t="n"/>
      <c r="Q60" s="105" t="n"/>
      <c r="R60" s="63" t="n"/>
      <c r="S60" s="60" t="n"/>
      <c r="T60" s="60" t="n"/>
      <c r="U60" s="64" t="n"/>
    </row>
    <row r="61" ht="14.4" customFormat="1" customHeight="1" s="58">
      <c r="A61" s="59" t="n"/>
      <c r="B61" s="60" t="n"/>
      <c r="C61" s="66" t="n"/>
      <c r="D61" s="56" t="n"/>
      <c r="E61" s="56" t="n"/>
      <c r="F61" s="56" t="n"/>
      <c r="G61" s="56" t="n"/>
      <c r="H61" s="60" t="n"/>
      <c r="I61" s="60" t="n"/>
      <c r="J61" s="60" t="n"/>
      <c r="K61" s="60" t="n"/>
      <c r="L61" s="60" t="n"/>
      <c r="M61" s="60" t="n"/>
      <c r="N61" s="66" t="n"/>
      <c r="O61" s="65" t="n"/>
      <c r="P61" s="105" t="n"/>
      <c r="Q61" s="105" t="n"/>
      <c r="R61" s="63" t="n"/>
      <c r="S61" s="60" t="n"/>
      <c r="T61" s="60" t="n"/>
      <c r="U61" s="64" t="n"/>
    </row>
    <row r="62" customFormat="1" s="58">
      <c r="A62" s="56" t="n"/>
      <c r="B62" s="60" t="n"/>
      <c r="C62" s="66" t="n"/>
      <c r="D62" s="56" t="n"/>
      <c r="E62" s="56" t="n"/>
      <c r="F62" s="56" t="n"/>
      <c r="G62" s="56" t="n"/>
      <c r="H62" s="60" t="n"/>
      <c r="I62" s="60" t="n"/>
      <c r="J62" s="60" t="n"/>
      <c r="K62" s="60" t="n"/>
      <c r="L62" s="60" t="n"/>
      <c r="M62" s="60" t="n"/>
      <c r="N62" s="66" t="n"/>
      <c r="O62" s="65" t="n"/>
      <c r="P62" s="105" t="n"/>
      <c r="Q62" s="105" t="n"/>
      <c r="R62" s="63" t="n"/>
      <c r="S62" s="60" t="n"/>
      <c r="T62" s="60" t="n"/>
      <c r="U62" s="64" t="n"/>
    </row>
    <row r="63" customFormat="1" s="58">
      <c r="A63" s="56" t="n"/>
      <c r="B63" s="60" t="n"/>
      <c r="C63" s="67" t="n"/>
      <c r="D63" s="68" t="n"/>
      <c r="E63" s="68" t="n"/>
      <c r="F63" s="56" t="n"/>
      <c r="G63" s="56" t="n"/>
      <c r="H63" s="60" t="n"/>
      <c r="I63" s="60" t="n"/>
      <c r="J63" s="60" t="n"/>
      <c r="K63" s="60" t="n"/>
      <c r="L63" s="67" t="n"/>
      <c r="M63" s="67" t="n"/>
      <c r="N63" s="67" t="n"/>
      <c r="O63" s="67" t="n"/>
      <c r="P63" s="69" t="n"/>
      <c r="Q63" s="69" t="n"/>
      <c r="R63" s="63" t="n"/>
      <c r="S63" s="60" t="n"/>
      <c r="T63" s="60" t="n"/>
      <c r="U63" s="64" t="n"/>
    </row>
    <row r="64" customFormat="1" s="58">
      <c r="A64" s="63" t="n"/>
      <c r="B64" s="63" t="n"/>
      <c r="C64" s="63" t="n"/>
      <c r="H64" s="63" t="n"/>
      <c r="I64" s="63" t="n"/>
      <c r="J64" s="63" t="n"/>
      <c r="K64" s="63" t="n"/>
      <c r="L64" s="63" t="n"/>
      <c r="M64" s="63" t="n"/>
      <c r="N64" s="63" t="n"/>
      <c r="O64" s="63" t="n"/>
      <c r="P64" s="63" t="n"/>
      <c r="Q64" s="72">
        <f>SUM(Q2:Q63)</f>
        <v/>
      </c>
      <c r="R64" s="63" t="n"/>
      <c r="S64" s="63" t="n"/>
      <c r="T64" s="63" t="n"/>
      <c r="U64" s="71">
        <f>SUM(U2:U63)</f>
        <v/>
      </c>
    </row>
    <row r="65">
      <c r="A65" s="58" t="n"/>
      <c r="T65" s="60" t="inlineStr">
        <is>
          <t>Vehicle Rent</t>
        </is>
      </c>
      <c r="U65" s="64" t="n">
        <v>35000</v>
      </c>
    </row>
    <row r="66" customFormat="1" s="58">
      <c r="B66" s="63" t="n"/>
      <c r="C66" s="63" t="n"/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0" t="inlineStr">
        <is>
          <t>CNG - Wk 1</t>
        </is>
      </c>
      <c r="U66" s="60" t="n">
        <v>7028</v>
      </c>
    </row>
    <row r="67" customFormat="1" s="58">
      <c r="B67" s="63" t="n"/>
      <c r="C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0" t="inlineStr">
        <is>
          <t>CNG - Wk 2</t>
        </is>
      </c>
      <c r="U67" s="60" t="n">
        <v>8177</v>
      </c>
    </row>
    <row r="68" customFormat="1" s="58">
      <c r="B68" s="63" t="n"/>
      <c r="C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0" t="inlineStr">
        <is>
          <t>CNG - Wk 3</t>
        </is>
      </c>
      <c r="U68" s="60" t="n">
        <v>5573</v>
      </c>
    </row>
    <row r="69" customFormat="1" s="58">
      <c r="B69" s="63" t="n"/>
      <c r="C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0" t="inlineStr">
        <is>
          <t>CNG - Wk 4</t>
        </is>
      </c>
      <c r="U69" s="63" t="n">
        <v>7766</v>
      </c>
    </row>
    <row r="70" customFormat="1" s="58">
      <c r="B70" s="63" t="n"/>
      <c r="C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0" t="inlineStr">
        <is>
          <t>CNG - Wk 5</t>
        </is>
      </c>
      <c r="U70" s="58" t="n">
        <v>15310</v>
      </c>
    </row>
    <row r="71" customFormat="1" s="58">
      <c r="B71" s="63" t="n"/>
      <c r="C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70" t="n"/>
      <c r="U71" s="79">
        <f>SUM(U65:U70)</f>
        <v/>
      </c>
    </row>
    <row r="72" customFormat="1" s="58">
      <c r="A72" s="63" t="n"/>
      <c r="B72" s="63" t="n"/>
      <c r="C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70" t="n"/>
      <c r="U72" s="63" t="n"/>
    </row>
    <row r="73">
      <c r="A73" s="58" t="n"/>
      <c r="T73" s="35" t="inlineStr">
        <is>
          <t>Total Expense</t>
        </is>
      </c>
      <c r="U73" s="71">
        <f>U64+U71</f>
        <v/>
      </c>
    </row>
    <row r="74" customFormat="1" s="58">
      <c r="A74" s="63" t="n"/>
      <c r="B74" s="63" t="n"/>
      <c r="C74" s="63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35" t="inlineStr">
        <is>
          <t>Total Profit</t>
        </is>
      </c>
      <c r="U74" s="78">
        <f>Q64-U73</f>
        <v/>
      </c>
    </row>
    <row r="75">
      <c r="T75" s="35" t="n"/>
      <c r="U75" s="77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74"/>
  <sheetViews>
    <sheetView tabSelected="1" zoomScale="85" zoomScaleNormal="85" workbookViewId="0">
      <selection activeCell="A1" sqref="A1"/>
    </sheetView>
  </sheetViews>
  <sheetFormatPr baseColWidth="8" defaultColWidth="8.88671875" defaultRowHeight="13.8"/>
  <cols>
    <col width="9.77734375" customWidth="1" style="63" min="1" max="1"/>
    <col width="12.33203125" customWidth="1" style="63" min="2" max="2"/>
    <col width="15.33203125" customWidth="1" style="63" min="3" max="3"/>
    <col width="25.44140625" customWidth="1" style="58" min="4" max="4"/>
    <col width="37.6640625" bestFit="1" customWidth="1" style="58" min="5" max="5"/>
    <col width="14" customWidth="1" style="58" min="6" max="6"/>
    <col width="21.21875" customWidth="1" style="58" min="7" max="7"/>
    <col width="14.77734375" customWidth="1" style="63" min="8" max="8"/>
    <col width="14" customWidth="1" style="63" min="9" max="9"/>
    <col width="9" customWidth="1" style="63" min="10" max="10"/>
    <col width="13.77734375" customWidth="1" style="63" min="11" max="11"/>
    <col width="13.33203125" customWidth="1" style="63" min="12" max="12"/>
    <col width="10.44140625" bestFit="1" customWidth="1" style="63" min="13" max="13"/>
    <col width="10.33203125" customWidth="1" style="63" min="14" max="14"/>
    <col width="8.6640625" customWidth="1" style="63" min="15" max="15"/>
    <col width="9" customWidth="1" style="63" min="16" max="16"/>
    <col width="13.5546875" customWidth="1" style="63" min="17" max="17"/>
    <col width="12" bestFit="1" customWidth="1" style="63" min="18" max="18"/>
    <col width="13.33203125" customWidth="1" style="63" min="19" max="19"/>
    <col width="12.44140625" bestFit="1" customWidth="1" style="63" min="20" max="20"/>
    <col width="20.6640625" customWidth="1" style="58" min="21" max="21"/>
    <col width="8.88671875" customWidth="1" style="63" min="22" max="22"/>
    <col width="8.88671875" customWidth="1" style="63" min="23" max="16384"/>
  </cols>
  <sheetData>
    <row r="1" ht="43.2" customFormat="1" customHeight="1" s="58">
      <c r="A1" s="82" t="inlineStr">
        <is>
          <t>SR. NO.</t>
        </is>
      </c>
      <c r="B1" s="82" t="inlineStr">
        <is>
          <t>Pickup Request Date</t>
        </is>
      </c>
      <c r="C1" s="102" t="inlineStr">
        <is>
          <t>LR NUMBER</t>
        </is>
      </c>
      <c r="D1" s="82" t="inlineStr">
        <is>
          <t>Name</t>
        </is>
      </c>
      <c r="E1" s="82" t="inlineStr">
        <is>
          <t>Address</t>
        </is>
      </c>
      <c r="F1" s="82" t="inlineStr">
        <is>
          <t>Contact Person</t>
        </is>
      </c>
      <c r="G1" s="82" t="inlineStr">
        <is>
          <t>Contact Number</t>
        </is>
      </c>
      <c r="H1" s="82" t="inlineStr">
        <is>
          <t>City</t>
        </is>
      </c>
      <c r="I1" s="82" t="inlineStr">
        <is>
          <t>State</t>
        </is>
      </c>
      <c r="J1" s="82" t="inlineStr">
        <is>
          <t>No Of Boxes</t>
        </is>
      </c>
      <c r="K1" s="82" t="inlineStr">
        <is>
          <t>Weight as per EcoFleet</t>
        </is>
      </c>
      <c r="L1" s="82" t="inlineStr">
        <is>
          <t>Weight as per Optlog</t>
        </is>
      </c>
      <c r="M1" s="82" t="inlineStr">
        <is>
          <t>Status</t>
        </is>
      </c>
      <c r="N1" s="82" t="inlineStr">
        <is>
          <t xml:space="preserve">Delivered on </t>
        </is>
      </c>
      <c r="O1" s="82" t="inlineStr">
        <is>
          <t>TAT</t>
        </is>
      </c>
      <c r="P1" s="82" t="inlineStr">
        <is>
          <t>Rate</t>
        </is>
      </c>
      <c r="Q1" s="82" t="inlineStr">
        <is>
          <t>Amount</t>
        </is>
      </c>
      <c r="R1" s="82" t="inlineStr">
        <is>
          <t>Vendor</t>
        </is>
      </c>
      <c r="S1" s="82" t="inlineStr">
        <is>
          <t>Vendor Rate</t>
        </is>
      </c>
      <c r="T1" s="82" t="inlineStr">
        <is>
          <t>CNG Paid &amp; Vendor Payment</t>
        </is>
      </c>
    </row>
    <row r="2" ht="28.8" customFormat="1" customHeight="1" s="58">
      <c r="A2" s="83" t="n">
        <v>1</v>
      </c>
      <c r="B2" s="85" t="n">
        <v>46174</v>
      </c>
      <c r="C2" s="103" t="n">
        <v>260100126</v>
      </c>
      <c r="D2" s="86" t="inlineStr">
        <is>
          <t>FERYEZ POLYMER PVT LTD</t>
        </is>
      </c>
      <c r="E2" s="86" t="inlineStr">
        <is>
          <t>SR.NO.172, CHICHWADGAON, PUNE 411033 MAHARASHTRA</t>
        </is>
      </c>
      <c r="F2" s="86" t="inlineStr">
        <is>
          <t xml:space="preserve">Sandip </t>
        </is>
      </c>
      <c r="G2" s="86" t="n">
        <v>9503161311</v>
      </c>
      <c r="H2" s="83" t="inlineStr">
        <is>
          <t>Pune</t>
        </is>
      </c>
      <c r="I2" s="83" t="inlineStr">
        <is>
          <t>Maharashtra</t>
        </is>
      </c>
      <c r="J2" s="83" t="n">
        <v>22</v>
      </c>
      <c r="K2" s="83" t="n">
        <v>473</v>
      </c>
      <c r="L2" s="83" t="n">
        <v>473</v>
      </c>
      <c r="M2" s="83" t="inlineStr">
        <is>
          <t>Delivered</t>
        </is>
      </c>
      <c r="N2" s="87" t="n">
        <v>46176</v>
      </c>
      <c r="O2" s="88" t="n">
        <v>2</v>
      </c>
      <c r="P2" s="89" t="n">
        <v>10</v>
      </c>
      <c r="Q2" s="89">
        <f>P2*L2</f>
        <v/>
      </c>
      <c r="R2" s="83" t="n"/>
      <c r="S2" s="83" t="n"/>
      <c r="T2" s="90" t="n"/>
    </row>
    <row r="3" ht="43.2" customFormat="1" customHeight="1" s="58">
      <c r="A3" s="83" t="n">
        <v>2</v>
      </c>
      <c r="B3" s="85" t="n">
        <v>46174</v>
      </c>
      <c r="C3" s="103" t="n">
        <v>260100127</v>
      </c>
      <c r="D3" s="86" t="inlineStr">
        <is>
          <t>LALIT INDUSTRIES BULIDING</t>
        </is>
      </c>
      <c r="E3" s="86" t="inlineStr">
        <is>
          <t>NO.6, GALA NO 101, MITTAL INDUSTRIES ESTATE, ANDHERI KURLA ROAD, M.V. ROAD, MUMBAI 400059</t>
        </is>
      </c>
      <c r="F3" s="91" t="inlineStr">
        <is>
          <t>Rakesh</t>
        </is>
      </c>
      <c r="G3" s="86" t="n">
        <v>7021056086</v>
      </c>
      <c r="H3" s="83" t="inlineStr">
        <is>
          <t>Mumbai</t>
        </is>
      </c>
      <c r="I3" s="83" t="inlineStr">
        <is>
          <t>Maharashtra</t>
        </is>
      </c>
      <c r="J3" s="83" t="n">
        <v>7</v>
      </c>
      <c r="K3" s="83" t="n">
        <v>90</v>
      </c>
      <c r="L3" s="83" t="n">
        <v>90</v>
      </c>
      <c r="M3" s="83" t="inlineStr">
        <is>
          <t>Delivered</t>
        </is>
      </c>
      <c r="N3" s="87" t="n">
        <v>46176</v>
      </c>
      <c r="O3" s="88" t="n">
        <v>2</v>
      </c>
      <c r="P3" s="89" t="n">
        <v>10</v>
      </c>
      <c r="Q3" s="89">
        <f>P3*L3</f>
        <v/>
      </c>
      <c r="R3" s="83" t="n"/>
      <c r="S3" s="83" t="n"/>
      <c r="T3" s="90" t="n"/>
    </row>
    <row r="4" ht="28.8" customFormat="1" customHeight="1" s="58">
      <c r="A4" s="83" t="n">
        <v>3</v>
      </c>
      <c r="B4" s="87" t="n">
        <v>46176</v>
      </c>
      <c r="C4" s="103" t="n">
        <v>260100128</v>
      </c>
      <c r="D4" s="86" t="inlineStr">
        <is>
          <t>PREMIER SEALS INDIA PRIVATE LTD</t>
        </is>
      </c>
      <c r="E4" s="86" t="inlineStr">
        <is>
          <t>20/8, D-1 BLOCK, MIDC, CHINCHWAD, PUNE MAHARASHTRA 411019</t>
        </is>
      </c>
      <c r="F4" s="86" t="inlineStr">
        <is>
          <t xml:space="preserve">Mita </t>
        </is>
      </c>
      <c r="G4" s="86" t="n">
        <v>8956347535</v>
      </c>
      <c r="H4" s="83" t="inlineStr">
        <is>
          <t>Pune</t>
        </is>
      </c>
      <c r="I4" s="83" t="inlineStr">
        <is>
          <t>Maharashtra</t>
        </is>
      </c>
      <c r="J4" s="83" t="n">
        <v>15</v>
      </c>
      <c r="K4" s="83" t="n">
        <v>251</v>
      </c>
      <c r="L4" s="83" t="n">
        <v>251</v>
      </c>
      <c r="M4" s="83" t="inlineStr">
        <is>
          <t>Delivered</t>
        </is>
      </c>
      <c r="N4" s="87" t="n">
        <v>46176</v>
      </c>
      <c r="O4" s="88" t="n">
        <v>0</v>
      </c>
      <c r="P4" s="89" t="n">
        <v>10</v>
      </c>
      <c r="Q4" s="89">
        <f>P4*L4</f>
        <v/>
      </c>
      <c r="R4" s="83" t="n"/>
      <c r="S4" s="90" t="n"/>
      <c r="T4" s="90" t="n"/>
    </row>
    <row r="5" ht="14.4" customFormat="1" customHeight="1" s="58">
      <c r="A5" s="83" t="n">
        <v>4</v>
      </c>
      <c r="B5" s="85" t="n">
        <v>46175</v>
      </c>
      <c r="C5" s="103" t="n">
        <v>260100129</v>
      </c>
      <c r="D5" s="86" t="inlineStr">
        <is>
          <t>Lumax industries</t>
        </is>
      </c>
      <c r="E5" s="86" t="inlineStr">
        <is>
          <t>D2/43-44 MIDC INDL Area Chinchwad</t>
        </is>
      </c>
      <c r="F5" s="86" t="inlineStr">
        <is>
          <t>Sandeep</t>
        </is>
      </c>
      <c r="G5" s="86" t="n">
        <v>9657704906</v>
      </c>
      <c r="H5" s="83" t="inlineStr">
        <is>
          <t>Pune</t>
        </is>
      </c>
      <c r="I5" s="83" t="inlineStr">
        <is>
          <t>Maharashtra</t>
        </is>
      </c>
      <c r="J5" s="83" t="n">
        <v>2</v>
      </c>
      <c r="K5" s="83" t="n">
        <v>35</v>
      </c>
      <c r="L5" s="83" t="n">
        <v>35</v>
      </c>
      <c r="M5" s="83" t="inlineStr">
        <is>
          <t>Delivered</t>
        </is>
      </c>
      <c r="N5" s="87" t="n">
        <v>46176</v>
      </c>
      <c r="O5" s="88" t="n">
        <v>1</v>
      </c>
      <c r="P5" s="89" t="n">
        <v>10</v>
      </c>
      <c r="Q5" s="89">
        <f>P5*L5</f>
        <v/>
      </c>
      <c r="R5" s="83" t="n"/>
      <c r="S5" s="90" t="n"/>
      <c r="T5" s="90" t="n"/>
    </row>
    <row r="6" ht="28.8" customHeight="1">
      <c r="A6" s="83" t="n">
        <v>5</v>
      </c>
      <c r="B6" s="85" t="n">
        <v>46175</v>
      </c>
      <c r="C6" s="103" t="n">
        <v>260100130</v>
      </c>
      <c r="D6" s="86" t="inlineStr">
        <is>
          <t>ASTRA AUTOLITES</t>
        </is>
      </c>
      <c r="E6" s="86" t="inlineStr">
        <is>
          <t>GAT NO, 139B, ALANDI MARKAL ROAD, PUNE - 412105</t>
        </is>
      </c>
      <c r="F6" s="86" t="inlineStr">
        <is>
          <t>Flavia</t>
        </is>
      </c>
      <c r="G6" s="86" t="n">
        <v>9960525493</v>
      </c>
      <c r="H6" s="83" t="inlineStr">
        <is>
          <t>Pune</t>
        </is>
      </c>
      <c r="I6" s="83" t="inlineStr">
        <is>
          <t>Maharashtra</t>
        </is>
      </c>
      <c r="J6" s="83" t="n">
        <v>8</v>
      </c>
      <c r="K6" s="83" t="n">
        <v>63</v>
      </c>
      <c r="L6" s="83" t="n">
        <v>63</v>
      </c>
      <c r="M6" s="83" t="inlineStr">
        <is>
          <t>Delivered</t>
        </is>
      </c>
      <c r="N6" s="87" t="n">
        <v>46176</v>
      </c>
      <c r="O6" s="88" t="n">
        <v>1</v>
      </c>
      <c r="P6" s="89" t="n">
        <v>10</v>
      </c>
      <c r="Q6" s="89">
        <f>P6*L6</f>
        <v/>
      </c>
      <c r="R6" s="83" t="n"/>
      <c r="S6" s="90" t="n"/>
      <c r="T6" s="83" t="n"/>
      <c r="U6" s="63" t="n"/>
    </row>
    <row r="7" ht="28.8" customHeight="1">
      <c r="A7" s="83" t="n">
        <v>6</v>
      </c>
      <c r="B7" s="85" t="n">
        <v>46175</v>
      </c>
      <c r="C7" s="103" t="n">
        <v>260100131</v>
      </c>
      <c r="D7" s="86" t="inlineStr">
        <is>
          <t>Shekhar Brothers</t>
        </is>
      </c>
      <c r="E7" s="86" t="inlineStr">
        <is>
          <t>Plot No 58, Sector 6, Faridabad, Harayana - 121006</t>
        </is>
      </c>
      <c r="F7" s="86" t="inlineStr">
        <is>
          <t>Rajiv</t>
        </is>
      </c>
      <c r="G7" s="86" t="n">
        <v>8882838488</v>
      </c>
      <c r="H7" s="83" t="inlineStr">
        <is>
          <t>Faridabad</t>
        </is>
      </c>
      <c r="I7" s="83" t="inlineStr">
        <is>
          <t>Harayana</t>
        </is>
      </c>
      <c r="J7" s="83" t="n">
        <v>228</v>
      </c>
      <c r="K7" s="83" t="n">
        <v>4055</v>
      </c>
      <c r="L7" s="83" t="n">
        <v>4055</v>
      </c>
      <c r="M7" s="83" t="inlineStr">
        <is>
          <t>Delivered</t>
        </is>
      </c>
      <c r="N7" s="85" t="n">
        <v>46181</v>
      </c>
      <c r="O7" s="92" t="n">
        <v>6</v>
      </c>
      <c r="P7" s="89" t="n">
        <v>10</v>
      </c>
      <c r="Q7" s="89" t="n">
        <v>40000</v>
      </c>
      <c r="R7" s="83" t="inlineStr">
        <is>
          <t>Third Party</t>
        </is>
      </c>
      <c r="S7" s="83" t="n"/>
      <c r="T7" s="90" t="n">
        <v>35000</v>
      </c>
      <c r="U7" s="63" t="n"/>
    </row>
    <row r="8" ht="28.8" customFormat="1" customHeight="1" s="58">
      <c r="A8" s="83" t="n">
        <v>7</v>
      </c>
      <c r="B8" s="85" t="n">
        <v>46176</v>
      </c>
      <c r="C8" s="103" t="n">
        <v>260100132</v>
      </c>
      <c r="D8" s="86" t="inlineStr">
        <is>
          <t>TANISHQ PRECISION FASTENERS LLP</t>
        </is>
      </c>
      <c r="E8" s="86" t="inlineStr">
        <is>
          <t>GAT NO – 877, NIGHOJE, TAL -KHED, CHAKAN, PUNE-410501</t>
        </is>
      </c>
      <c r="F8" s="86" t="inlineStr">
        <is>
          <t>Sanjay</t>
        </is>
      </c>
      <c r="G8" s="86" t="n">
        <v>9579951621</v>
      </c>
      <c r="H8" s="83" t="inlineStr">
        <is>
          <t>Pune</t>
        </is>
      </c>
      <c r="I8" s="83" t="inlineStr">
        <is>
          <t>Maharashtra</t>
        </is>
      </c>
      <c r="J8" s="83" t="n">
        <v>57</v>
      </c>
      <c r="K8" s="83" t="n">
        <v>911</v>
      </c>
      <c r="L8" s="83" t="n">
        <v>911</v>
      </c>
      <c r="M8" s="83" t="inlineStr">
        <is>
          <t>Delivered</t>
        </is>
      </c>
      <c r="N8" s="85" t="n">
        <v>46177</v>
      </c>
      <c r="O8" s="92" t="n">
        <v>1</v>
      </c>
      <c r="P8" s="89" t="n">
        <v>10</v>
      </c>
      <c r="Q8" s="89">
        <f>P8*L8</f>
        <v/>
      </c>
      <c r="R8" s="83" t="inlineStr">
        <is>
          <t>Third Party</t>
        </is>
      </c>
      <c r="S8" s="83" t="inlineStr">
        <is>
          <t>rajesh</t>
        </is>
      </c>
      <c r="T8" s="90" t="n"/>
    </row>
    <row r="9" ht="28.8" customFormat="1" customHeight="1" s="58">
      <c r="A9" s="83" t="n">
        <v>8</v>
      </c>
      <c r="B9" s="85" t="n">
        <v>46177</v>
      </c>
      <c r="C9" s="103" t="n">
        <v>260100133</v>
      </c>
      <c r="D9" s="86" t="inlineStr">
        <is>
          <t>AKAR AUTO INDUSTRIES LIMIT</t>
        </is>
      </c>
      <c r="E9" s="86" t="inlineStr">
        <is>
          <t>E 5 MIDC WALUJ, AURANGABAD</t>
        </is>
      </c>
      <c r="F9" s="86" t="inlineStr">
        <is>
          <t>Mushtaq</t>
        </is>
      </c>
      <c r="G9" s="86" t="n">
        <v>9890997721</v>
      </c>
      <c r="H9" s="83" t="inlineStr">
        <is>
          <t>Sambhaji nagar</t>
        </is>
      </c>
      <c r="I9" s="83" t="inlineStr">
        <is>
          <t>Maharashtra</t>
        </is>
      </c>
      <c r="J9" s="83" t="n">
        <v>20</v>
      </c>
      <c r="K9" s="83" t="n">
        <v>650</v>
      </c>
      <c r="L9" s="83" t="n">
        <v>650</v>
      </c>
      <c r="M9" s="83" t="inlineStr">
        <is>
          <t>Delivered</t>
        </is>
      </c>
      <c r="N9" s="85" t="n">
        <v>46177</v>
      </c>
      <c r="O9" s="92" t="n">
        <v>0</v>
      </c>
      <c r="P9" s="89" t="n">
        <v>10</v>
      </c>
      <c r="Q9" s="89" t="n">
        <v>8000</v>
      </c>
      <c r="R9" s="83" t="inlineStr">
        <is>
          <t>SIDDU</t>
        </is>
      </c>
      <c r="S9" s="83" t="n"/>
      <c r="T9" s="90" t="n">
        <v>6500</v>
      </c>
    </row>
    <row r="10" ht="14.4" customFormat="1" customHeight="1" s="58">
      <c r="A10" s="83" t="n">
        <v>9</v>
      </c>
      <c r="B10" s="85" t="n"/>
      <c r="C10" s="103" t="inlineStr">
        <is>
          <t>260100134/35</t>
        </is>
      </c>
      <c r="D10" s="86" t="inlineStr">
        <is>
          <t>Lumax industries</t>
        </is>
      </c>
      <c r="E10" s="86" t="inlineStr">
        <is>
          <t>cancel</t>
        </is>
      </c>
      <c r="F10" s="86" t="inlineStr">
        <is>
          <t>cancel</t>
        </is>
      </c>
      <c r="G10" s="86" t="inlineStr">
        <is>
          <t>cancel</t>
        </is>
      </c>
      <c r="H10" s="86" t="inlineStr">
        <is>
          <t>cancel</t>
        </is>
      </c>
      <c r="I10" s="86" t="inlineStr">
        <is>
          <t>cancel</t>
        </is>
      </c>
      <c r="J10" s="86" t="inlineStr">
        <is>
          <t>cancel</t>
        </is>
      </c>
      <c r="K10" s="86" t="inlineStr">
        <is>
          <t>cancel</t>
        </is>
      </c>
      <c r="L10" s="86" t="inlineStr">
        <is>
          <t>cancel</t>
        </is>
      </c>
      <c r="M10" s="86" t="inlineStr">
        <is>
          <t>cancel</t>
        </is>
      </c>
      <c r="N10" s="86" t="inlineStr">
        <is>
          <t>cancel</t>
        </is>
      </c>
      <c r="O10" s="86" t="inlineStr">
        <is>
          <t>cancel</t>
        </is>
      </c>
      <c r="P10" s="89" t="n">
        <v>10</v>
      </c>
      <c r="Q10" s="86" t="inlineStr">
        <is>
          <t>cancel</t>
        </is>
      </c>
      <c r="R10" s="83" t="n"/>
      <c r="S10" s="83" t="n"/>
      <c r="T10" s="90" t="n"/>
    </row>
    <row r="11" ht="28.8" customFormat="1" customHeight="1" s="58">
      <c r="A11" s="83" t="n">
        <v>10</v>
      </c>
      <c r="B11" s="85" t="n">
        <v>46178</v>
      </c>
      <c r="C11" s="103" t="n">
        <v>260100136</v>
      </c>
      <c r="D11" s="86" t="inlineStr">
        <is>
          <t>NIKY PRECISION(MULAY POLYMERS PVT. LTD.)</t>
        </is>
      </c>
      <c r="E11" s="86" t="inlineStr">
        <is>
          <t>Gat No 679/2/1 Plot No. 30/6, Chakan Alandi Road, Tal.-Khed Dist.-Pune-410501.</t>
        </is>
      </c>
      <c r="F11" s="86" t="inlineStr">
        <is>
          <t xml:space="preserve">Rajkumar </t>
        </is>
      </c>
      <c r="G11" s="86" t="n">
        <v>9156575795</v>
      </c>
      <c r="H11" s="83" t="inlineStr">
        <is>
          <t>Pune</t>
        </is>
      </c>
      <c r="I11" s="83" t="inlineStr">
        <is>
          <t>Maharashtra</t>
        </is>
      </c>
      <c r="J11" s="83" t="n">
        <v>9</v>
      </c>
      <c r="K11" s="83" t="n">
        <v>77</v>
      </c>
      <c r="L11" s="83" t="n">
        <v>77</v>
      </c>
      <c r="M11" s="83" t="inlineStr">
        <is>
          <t>Delivered</t>
        </is>
      </c>
      <c r="N11" s="85" t="n">
        <v>47275</v>
      </c>
      <c r="O11" s="92" t="n">
        <v>1</v>
      </c>
      <c r="P11" s="89" t="n">
        <v>10</v>
      </c>
      <c r="Q11" s="89" t="n">
        <v>2500</v>
      </c>
      <c r="R11" s="83" t="inlineStr">
        <is>
          <t>FTL</t>
        </is>
      </c>
      <c r="S11" s="83" t="inlineStr">
        <is>
          <t>SELF</t>
        </is>
      </c>
      <c r="T11" s="90" t="n"/>
    </row>
    <row r="12" ht="28.8" customFormat="1" customHeight="1" s="58">
      <c r="A12" s="83" t="n">
        <v>11</v>
      </c>
      <c r="B12" s="85" t="n">
        <v>46179</v>
      </c>
      <c r="C12" s="103" t="n">
        <v>260100137</v>
      </c>
      <c r="D12" s="86" t="inlineStr">
        <is>
          <t>PACOLINE INDUSTRIES PRIVATE LIMITED</t>
        </is>
      </c>
      <c r="E12" s="86" t="inlineStr">
        <is>
          <t>21 Hadapsar Indl Estate  Pune 411013</t>
        </is>
      </c>
      <c r="F12" s="86" t="inlineStr">
        <is>
          <t>SOURAV</t>
        </is>
      </c>
      <c r="G12" s="86" t="n">
        <v>9552519571</v>
      </c>
      <c r="H12" s="83" t="inlineStr">
        <is>
          <t>Pune</t>
        </is>
      </c>
      <c r="I12" s="83" t="inlineStr">
        <is>
          <t>Maharashtra</t>
        </is>
      </c>
      <c r="J12" s="83" t="n">
        <v>14</v>
      </c>
      <c r="K12" s="83" t="n">
        <v>161</v>
      </c>
      <c r="L12" s="83" t="n">
        <v>161</v>
      </c>
      <c r="M12" s="83" t="inlineStr">
        <is>
          <t>Delivered</t>
        </is>
      </c>
      <c r="N12" s="85" t="n">
        <v>47275</v>
      </c>
      <c r="O12" s="92" t="n">
        <v>0</v>
      </c>
      <c r="P12" s="89" t="n">
        <v>10</v>
      </c>
      <c r="Q12" s="89" t="n">
        <v>2500</v>
      </c>
      <c r="R12" s="83" t="inlineStr">
        <is>
          <t>FTL</t>
        </is>
      </c>
      <c r="S12" s="83" t="inlineStr">
        <is>
          <t>SELF</t>
        </is>
      </c>
      <c r="T12" s="90" t="n"/>
    </row>
    <row r="13" ht="28.8" customFormat="1" customHeight="1" s="58">
      <c r="A13" s="83" t="n">
        <v>12</v>
      </c>
      <c r="B13" s="85" t="n">
        <v>46182</v>
      </c>
      <c r="C13" s="103" t="n">
        <v>260100138</v>
      </c>
      <c r="D13" s="86" t="inlineStr">
        <is>
          <t>NIKY PRECISION ENGINEERS PRIVATE LIMITED</t>
        </is>
      </c>
      <c r="E13" s="86" t="inlineStr">
        <is>
          <t xml:space="preserve"> PLOT NO 15, GALA NO 1, 3, 5, 7, PLOT NO 9, S NO 38/2/18, 16, NARHE, PUNE-411041</t>
        </is>
      </c>
      <c r="F13" s="86" t="inlineStr">
        <is>
          <t>Jeevan</t>
        </is>
      </c>
      <c r="G13" s="86" t="n">
        <v>8446006021</v>
      </c>
      <c r="H13" s="83" t="inlineStr">
        <is>
          <t>Pune</t>
        </is>
      </c>
      <c r="I13" s="83" t="inlineStr">
        <is>
          <t>Maharashtra</t>
        </is>
      </c>
      <c r="J13" s="83" t="n">
        <v>21</v>
      </c>
      <c r="K13" s="83" t="n">
        <v>198</v>
      </c>
      <c r="L13" s="83" t="n">
        <v>198</v>
      </c>
      <c r="M13" s="83" t="inlineStr">
        <is>
          <t>Delivered</t>
        </is>
      </c>
      <c r="N13" s="85" t="n">
        <v>46183</v>
      </c>
      <c r="O13" s="92" t="n">
        <v>1</v>
      </c>
      <c r="P13" s="89" t="n">
        <v>10</v>
      </c>
      <c r="Q13" s="89">
        <f>P13*L13</f>
        <v/>
      </c>
      <c r="R13" s="83" t="n"/>
      <c r="S13" s="83" t="n"/>
      <c r="T13" s="90" t="n"/>
    </row>
    <row r="14" ht="28.8" customFormat="1" customHeight="1" s="58">
      <c r="A14" s="83" t="n">
        <v>13</v>
      </c>
      <c r="B14" s="85" t="n">
        <v>46181</v>
      </c>
      <c r="C14" s="103" t="n">
        <v>260100139</v>
      </c>
      <c r="D14" s="86" t="inlineStr">
        <is>
          <t>FERYEZ POLYMER PVT LTD</t>
        </is>
      </c>
      <c r="E14" s="86" t="inlineStr">
        <is>
          <t>SR.NO.172, CHICHWADGAON, PUNE 411033 MAHARASHTRA</t>
        </is>
      </c>
      <c r="F14" s="86" t="inlineStr">
        <is>
          <t xml:space="preserve">Sandip </t>
        </is>
      </c>
      <c r="G14" s="86" t="n">
        <v>9503161311</v>
      </c>
      <c r="H14" s="83" t="inlineStr">
        <is>
          <t>Pune</t>
        </is>
      </c>
      <c r="I14" s="83" t="inlineStr">
        <is>
          <t>Maharashtra</t>
        </is>
      </c>
      <c r="J14" s="83" t="n">
        <v>30</v>
      </c>
      <c r="K14" s="83" t="n">
        <v>563</v>
      </c>
      <c r="L14" s="83" t="n">
        <v>563</v>
      </c>
      <c r="M14" s="83" t="inlineStr">
        <is>
          <t>Delivered</t>
        </is>
      </c>
      <c r="N14" s="85" t="n">
        <v>46183</v>
      </c>
      <c r="O14" s="92" t="n">
        <v>1</v>
      </c>
      <c r="P14" s="89" t="n">
        <v>10</v>
      </c>
      <c r="Q14" s="89">
        <f>P14*L14</f>
        <v/>
      </c>
      <c r="R14" s="83" t="n"/>
      <c r="S14" s="83" t="n"/>
      <c r="T14" s="90" t="n"/>
    </row>
    <row r="15" ht="28.8" customFormat="1" customHeight="1" s="58">
      <c r="A15" s="83" t="n">
        <v>14</v>
      </c>
      <c r="B15" s="85" t="n">
        <v>46182</v>
      </c>
      <c r="C15" s="103" t="n">
        <v>260100140</v>
      </c>
      <c r="D15" s="86" t="inlineStr">
        <is>
          <t>NIKY PRECISION(MULAY POLYMERS PVT. LTD.)</t>
        </is>
      </c>
      <c r="E15" s="86" t="inlineStr">
        <is>
          <t>Gat No 679/2/1 Plot No. 30/6, Chakan Alandi Road, Tal.-Khed Dist.-Pune-410501.</t>
        </is>
      </c>
      <c r="F15" s="86" t="inlineStr">
        <is>
          <t xml:space="preserve">Rajkumar </t>
        </is>
      </c>
      <c r="G15" s="86" t="n">
        <v>9156575795</v>
      </c>
      <c r="H15" s="83" t="inlineStr">
        <is>
          <t>Pune</t>
        </is>
      </c>
      <c r="I15" s="83" t="inlineStr">
        <is>
          <t>Maharashtra</t>
        </is>
      </c>
      <c r="J15" s="83" t="n">
        <v>18</v>
      </c>
      <c r="K15" s="83" t="n">
        <v>165</v>
      </c>
      <c r="L15" s="83" t="n">
        <v>165</v>
      </c>
      <c r="M15" s="83" t="inlineStr">
        <is>
          <t>Delivered</t>
        </is>
      </c>
      <c r="N15" s="85" t="n">
        <v>46183</v>
      </c>
      <c r="O15" s="92" t="n">
        <v>1</v>
      </c>
      <c r="P15" s="89" t="n">
        <v>10</v>
      </c>
      <c r="Q15" s="89">
        <f>P15*L15</f>
        <v/>
      </c>
      <c r="R15" s="83" t="n"/>
      <c r="S15" s="83" t="n"/>
      <c r="T15" s="90" t="n"/>
    </row>
    <row r="16" ht="28.8" customFormat="1" customHeight="1" s="58">
      <c r="A16" s="83" t="n">
        <v>15</v>
      </c>
      <c r="B16" s="85" t="n">
        <v>46183</v>
      </c>
      <c r="C16" s="103" t="n">
        <v>260100141</v>
      </c>
      <c r="D16" s="86" t="inlineStr">
        <is>
          <t>PACOLINE INDUSTRIES PRIVATE LIMITED</t>
        </is>
      </c>
      <c r="E16" s="86" t="inlineStr">
        <is>
          <t>21 Hadapsar Indl Estate  Pune 411013</t>
        </is>
      </c>
      <c r="F16" s="86" t="inlineStr">
        <is>
          <t>SOURAV</t>
        </is>
      </c>
      <c r="G16" s="86" t="n">
        <v>9552519571</v>
      </c>
      <c r="H16" s="83" t="inlineStr">
        <is>
          <t>Pune</t>
        </is>
      </c>
      <c r="I16" s="83" t="inlineStr">
        <is>
          <t>Maharashtra</t>
        </is>
      </c>
      <c r="J16" s="83" t="n">
        <v>40</v>
      </c>
      <c r="K16" s="83" t="n">
        <v>480</v>
      </c>
      <c r="L16" s="83" t="n">
        <v>480</v>
      </c>
      <c r="M16" s="83" t="inlineStr">
        <is>
          <t>Delivered</t>
        </is>
      </c>
      <c r="N16" s="85" t="n">
        <v>46184</v>
      </c>
      <c r="O16" s="92" t="n">
        <v>1</v>
      </c>
      <c r="P16" s="89" t="n">
        <v>10</v>
      </c>
      <c r="Q16" s="89" t="n">
        <v>6000</v>
      </c>
      <c r="R16" s="83" t="inlineStr">
        <is>
          <t>Third Party</t>
        </is>
      </c>
      <c r="S16" s="83" t="inlineStr">
        <is>
          <t>rajesh</t>
        </is>
      </c>
      <c r="T16" s="90" t="n">
        <v>4700</v>
      </c>
    </row>
    <row r="17" ht="28.8" customFormat="1" customHeight="1" s="58">
      <c r="A17" s="83" t="n">
        <v>16</v>
      </c>
      <c r="B17" s="85" t="n">
        <v>46183</v>
      </c>
      <c r="C17" s="103" t="n">
        <v>260100142</v>
      </c>
      <c r="D17" s="86" t="inlineStr">
        <is>
          <t>PACOLINE INDUSTRIES PRIVATE LIMITED</t>
        </is>
      </c>
      <c r="E17" s="86" t="inlineStr">
        <is>
          <t>21 Hadapsar Indl Estate  Pune 411013</t>
        </is>
      </c>
      <c r="F17" s="86" t="inlineStr">
        <is>
          <t>SOURAV</t>
        </is>
      </c>
      <c r="G17" s="86" t="n">
        <v>9552519571</v>
      </c>
      <c r="H17" s="83" t="inlineStr">
        <is>
          <t>Pune</t>
        </is>
      </c>
      <c r="I17" s="83" t="inlineStr">
        <is>
          <t>Maharashtra</t>
        </is>
      </c>
      <c r="J17" s="83" t="n">
        <v>39</v>
      </c>
      <c r="K17" s="83" t="n">
        <v>450</v>
      </c>
      <c r="L17" s="83" t="n">
        <v>450</v>
      </c>
      <c r="M17" s="83" t="inlineStr">
        <is>
          <t>Delivered</t>
        </is>
      </c>
      <c r="N17" s="85" t="n">
        <v>46184</v>
      </c>
      <c r="O17" s="92" t="n">
        <v>1</v>
      </c>
      <c r="P17" s="89" t="n">
        <v>10</v>
      </c>
      <c r="Q17" s="89" t="n">
        <v>5000</v>
      </c>
      <c r="R17" s="83" t="inlineStr">
        <is>
          <t>SELF</t>
        </is>
      </c>
      <c r="S17" s="83" t="inlineStr">
        <is>
          <t>FTL</t>
        </is>
      </c>
      <c r="T17" s="90" t="n"/>
    </row>
    <row r="18" ht="28.8" customFormat="1" customHeight="1" s="58">
      <c r="A18" s="83" t="n">
        <v>17</v>
      </c>
      <c r="B18" s="85" t="n">
        <v>46186</v>
      </c>
      <c r="C18" s="103" t="n">
        <v>260100143</v>
      </c>
      <c r="D18" s="86" t="inlineStr">
        <is>
          <t>Perfect Cam Profile Pvt Ltd</t>
        </is>
      </c>
      <c r="E18" s="86" t="inlineStr">
        <is>
          <t>Address: Plot No S 55, Bhosari Industrial Estate, Pune - 411026</t>
        </is>
      </c>
      <c r="F18" s="86" t="inlineStr">
        <is>
          <t>Mehul Patel</t>
        </is>
      </c>
      <c r="G18" s="86" t="inlineStr">
        <is>
          <t>9860040965/7436901742</t>
        </is>
      </c>
      <c r="H18" s="83" t="inlineStr">
        <is>
          <t>Pune</t>
        </is>
      </c>
      <c r="I18" s="83" t="inlineStr">
        <is>
          <t>Maharashtra</t>
        </is>
      </c>
      <c r="J18" s="83" t="n">
        <v>112</v>
      </c>
      <c r="K18" s="83" t="n">
        <v>1568</v>
      </c>
      <c r="L18" s="83" t="n">
        <v>1568</v>
      </c>
      <c r="M18" s="83" t="inlineStr">
        <is>
          <t>Delivered</t>
        </is>
      </c>
      <c r="N18" s="85" t="n">
        <v>46186</v>
      </c>
      <c r="O18" s="92" t="n">
        <v>0</v>
      </c>
      <c r="P18" s="89" t="n">
        <v>10</v>
      </c>
      <c r="Q18" s="89">
        <f>P18*L18</f>
        <v/>
      </c>
      <c r="R18" s="83" t="n"/>
      <c r="S18" s="90" t="n"/>
      <c r="T18" s="90" t="n"/>
    </row>
    <row r="19" ht="43.2" customFormat="1" customHeight="1" s="58">
      <c r="A19" s="83" t="n">
        <v>18</v>
      </c>
      <c r="B19" s="85" t="n"/>
      <c r="C19" s="103" t="n"/>
      <c r="D19" s="86" t="n"/>
      <c r="E19" s="86" t="n"/>
      <c r="F19" s="86" t="n"/>
      <c r="G19" s="93" t="n"/>
      <c r="H19" s="83" t="n"/>
      <c r="I19" s="83" t="n"/>
      <c r="J19" s="83" t="n"/>
      <c r="K19" s="83" t="n"/>
      <c r="L19" s="83" t="n"/>
      <c r="M19" s="83" t="n"/>
      <c r="N19" s="85" t="n"/>
      <c r="O19" s="92" t="n"/>
      <c r="P19" s="89" t="n"/>
      <c r="Q19" s="89">
        <f>P19*L19</f>
        <v/>
      </c>
      <c r="R19" s="83" t="n"/>
      <c r="S19" s="90" t="n"/>
      <c r="T19" s="90" t="n"/>
    </row>
    <row r="20" ht="28.8" customFormat="1" customHeight="1" s="58">
      <c r="A20" s="83" t="n">
        <v>19</v>
      </c>
      <c r="B20" s="85" t="n"/>
      <c r="C20" s="84" t="n"/>
      <c r="D20" s="86" t="n"/>
      <c r="E20" s="86" t="n"/>
      <c r="F20" s="86" t="n"/>
      <c r="G20" s="86" t="n"/>
      <c r="H20" s="83" t="n"/>
      <c r="I20" s="83" t="n"/>
      <c r="J20" s="83" t="n"/>
      <c r="K20" s="83" t="n"/>
      <c r="L20" s="83" t="n"/>
      <c r="M20" s="83" t="n"/>
      <c r="N20" s="94" t="n"/>
      <c r="O20" s="92" t="n"/>
      <c r="P20" s="89" t="n"/>
      <c r="Q20" s="89">
        <f>P20*L20</f>
        <v/>
      </c>
      <c r="R20" s="83" t="n"/>
      <c r="S20" s="83" t="n"/>
      <c r="T20" s="90" t="n"/>
    </row>
    <row r="21" ht="28.8" customFormat="1" customHeight="1" s="58">
      <c r="A21" s="83" t="n">
        <v>20</v>
      </c>
      <c r="B21" s="85" t="n"/>
      <c r="C21" s="84" t="n"/>
      <c r="D21" s="86" t="n"/>
      <c r="E21" s="86" t="n"/>
      <c r="F21" s="86" t="n"/>
      <c r="G21" s="86" t="n"/>
      <c r="H21" s="83" t="n"/>
      <c r="I21" s="83" t="n"/>
      <c r="J21" s="83" t="n"/>
      <c r="K21" s="83" t="n"/>
      <c r="L21" s="83" t="n"/>
      <c r="M21" s="83" t="n"/>
      <c r="N21" s="94" t="n"/>
      <c r="O21" s="92" t="n"/>
      <c r="P21" s="89" t="n"/>
      <c r="Q21" s="89">
        <f>P21*L21</f>
        <v/>
      </c>
      <c r="R21" s="83" t="n"/>
      <c r="S21" s="83" t="n"/>
      <c r="T21" s="90" t="n"/>
    </row>
    <row r="22" ht="28.8" customFormat="1" customHeight="1" s="58">
      <c r="A22" s="83" t="n">
        <v>21</v>
      </c>
      <c r="B22" s="94" t="n"/>
      <c r="C22" s="84" t="n"/>
      <c r="D22" s="86" t="n"/>
      <c r="E22" s="86" t="n"/>
      <c r="F22" s="86" t="n"/>
      <c r="G22" s="86" t="n"/>
      <c r="H22" s="83" t="n"/>
      <c r="I22" s="83" t="n"/>
      <c r="J22" s="83" t="n"/>
      <c r="K22" s="83" t="n"/>
      <c r="L22" s="83" t="n"/>
      <c r="M22" s="83" t="n"/>
      <c r="N22" s="85" t="n"/>
      <c r="O22" s="92" t="n"/>
      <c r="P22" s="89" t="n"/>
      <c r="Q22" s="89">
        <f>P22*L22</f>
        <v/>
      </c>
      <c r="R22" s="83" t="n"/>
      <c r="S22" s="83" t="n"/>
      <c r="T22" s="90" t="n"/>
    </row>
    <row r="23" ht="14.4" customFormat="1" customHeight="1" s="58">
      <c r="A23" s="83" t="n"/>
      <c r="B23" s="94" t="n"/>
      <c r="C23" s="104" t="n"/>
      <c r="D23" s="86" t="n"/>
      <c r="E23" s="86" t="n"/>
      <c r="F23" s="86" t="n"/>
      <c r="G23" s="86" t="n"/>
      <c r="H23" s="83" t="n"/>
      <c r="I23" s="83" t="n"/>
      <c r="J23" s="83" t="n"/>
      <c r="K23" s="83" t="n"/>
      <c r="L23" s="83" t="n"/>
      <c r="M23" s="83" t="n"/>
      <c r="N23" s="85" t="n"/>
      <c r="O23" s="92" t="n"/>
      <c r="P23" s="89" t="n"/>
      <c r="Q23" s="89" t="n"/>
      <c r="R23" s="83" t="n"/>
      <c r="S23" s="83" t="n"/>
      <c r="T23" s="90" t="n"/>
    </row>
    <row r="24" ht="14.4" customFormat="1" customHeight="1" s="58">
      <c r="A24" s="83" t="n"/>
      <c r="B24" s="85" t="n"/>
      <c r="C24" s="84" t="n"/>
      <c r="D24" s="86" t="n"/>
      <c r="E24" s="86" t="n"/>
      <c r="F24" s="86" t="n"/>
      <c r="G24" s="86" t="n"/>
      <c r="H24" s="83" t="n"/>
      <c r="I24" s="83" t="n"/>
      <c r="J24" s="83" t="n"/>
      <c r="K24" s="83" t="n"/>
      <c r="L24" s="83" t="n"/>
      <c r="M24" s="83" t="n"/>
      <c r="N24" s="94" t="n"/>
      <c r="O24" s="92" t="n"/>
      <c r="P24" s="89" t="n">
        <v>10</v>
      </c>
      <c r="Q24" s="89">
        <f>P24*L24</f>
        <v/>
      </c>
      <c r="R24" s="83" t="n"/>
      <c r="S24" s="83" t="n"/>
      <c r="T24" s="90" t="n"/>
    </row>
    <row r="25" ht="14.4" customFormat="1" customHeight="1" s="58">
      <c r="A25" s="83" t="n"/>
      <c r="B25" s="85" t="n"/>
      <c r="C25" s="84" t="n"/>
      <c r="D25" s="86" t="n"/>
      <c r="E25" s="86" t="n"/>
      <c r="F25" s="86" t="n"/>
      <c r="G25" s="86" t="n"/>
      <c r="H25" s="83" t="n"/>
      <c r="I25" s="83" t="n"/>
      <c r="J25" s="83" t="n"/>
      <c r="K25" s="83" t="n"/>
      <c r="L25" s="83" t="n"/>
      <c r="M25" s="83" t="n"/>
      <c r="N25" s="94" t="n"/>
      <c r="O25" s="92" t="n"/>
      <c r="P25" s="89" t="n">
        <v>10</v>
      </c>
      <c r="Q25" s="89">
        <f>P25*L25</f>
        <v/>
      </c>
      <c r="R25" s="83" t="n"/>
      <c r="S25" s="83" t="n"/>
      <c r="T25" s="90" t="n"/>
    </row>
    <row r="26" ht="14.4" customFormat="1" customHeight="1" s="58">
      <c r="A26" s="83" t="n"/>
      <c r="B26" s="94" t="n"/>
      <c r="C26" s="84" t="n"/>
      <c r="D26" s="86" t="n"/>
      <c r="E26" s="86" t="n"/>
      <c r="F26" s="86" t="n"/>
      <c r="G26" s="86" t="n"/>
      <c r="H26" s="83" t="n"/>
      <c r="I26" s="83" t="n"/>
      <c r="J26" s="83" t="n"/>
      <c r="K26" s="83" t="n"/>
      <c r="L26" s="83" t="n"/>
      <c r="M26" s="83" t="n"/>
      <c r="N26" s="94" t="n"/>
      <c r="O26" s="92" t="n"/>
      <c r="P26" s="89" t="n">
        <v>10</v>
      </c>
      <c r="Q26" s="89">
        <f>P26*L26</f>
        <v/>
      </c>
      <c r="R26" s="83" t="n"/>
      <c r="S26" s="83" t="n"/>
      <c r="T26" s="90" t="n"/>
    </row>
    <row r="27" ht="14.4" customFormat="1" customHeight="1" s="58">
      <c r="A27" s="83" t="n"/>
      <c r="B27" s="94" t="n"/>
      <c r="C27" s="84" t="n"/>
      <c r="D27" s="86" t="n"/>
      <c r="E27" s="86" t="n"/>
      <c r="F27" s="86" t="n"/>
      <c r="G27" s="86" t="n"/>
      <c r="H27" s="83" t="n"/>
      <c r="I27" s="83" t="n"/>
      <c r="J27" s="83" t="n"/>
      <c r="K27" s="83" t="n"/>
      <c r="L27" s="83" t="n"/>
      <c r="M27" s="83" t="n"/>
      <c r="N27" s="94" t="n"/>
      <c r="O27" s="92" t="n"/>
      <c r="P27" s="89" t="n">
        <v>10</v>
      </c>
      <c r="Q27" s="89">
        <f>P27*L27</f>
        <v/>
      </c>
      <c r="R27" s="83" t="n"/>
      <c r="S27" s="83" t="n"/>
      <c r="T27" s="90" t="n"/>
    </row>
    <row r="28" ht="14.4" customFormat="1" customHeight="1" s="58">
      <c r="A28" s="83" t="n"/>
      <c r="B28" s="94" t="n"/>
      <c r="C28" s="84" t="n"/>
      <c r="D28" s="86" t="n"/>
      <c r="E28" s="86" t="n"/>
      <c r="F28" s="86" t="n"/>
      <c r="G28" s="86" t="n"/>
      <c r="H28" s="83" t="n"/>
      <c r="I28" s="83" t="n"/>
      <c r="J28" s="83" t="n"/>
      <c r="K28" s="83" t="n"/>
      <c r="L28" s="83" t="n"/>
      <c r="M28" s="83" t="n"/>
      <c r="N28" s="94" t="n"/>
      <c r="O28" s="92" t="n"/>
      <c r="P28" s="89" t="n">
        <v>10</v>
      </c>
      <c r="Q28" s="89">
        <f>P28*L28</f>
        <v/>
      </c>
      <c r="R28" s="83" t="n"/>
      <c r="S28" s="83" t="n"/>
      <c r="T28" s="90" t="n"/>
    </row>
    <row r="29" ht="14.4" customFormat="1" customHeight="1" s="58">
      <c r="A29" s="83" t="n"/>
      <c r="B29" s="94" t="n"/>
      <c r="C29" s="84" t="n"/>
      <c r="D29" s="86" t="n"/>
      <c r="E29" s="86" t="n"/>
      <c r="F29" s="86" t="n"/>
      <c r="G29" s="86" t="n"/>
      <c r="H29" s="83" t="n"/>
      <c r="I29" s="83" t="n"/>
      <c r="J29" s="83" t="n"/>
      <c r="K29" s="83" t="n"/>
      <c r="L29" s="83" t="n"/>
      <c r="M29" s="83" t="n"/>
      <c r="N29" s="94" t="n"/>
      <c r="O29" s="92" t="n"/>
      <c r="P29" s="89" t="n">
        <v>10</v>
      </c>
      <c r="Q29" s="89">
        <f>P29*L29</f>
        <v/>
      </c>
      <c r="R29" s="83" t="n"/>
      <c r="S29" s="83" t="n"/>
      <c r="T29" s="90" t="n"/>
    </row>
    <row r="30" ht="14.4" customFormat="1" customHeight="1" s="58">
      <c r="A30" s="83" t="n"/>
      <c r="B30" s="94" t="n"/>
      <c r="C30" s="84" t="n"/>
      <c r="D30" s="86" t="n"/>
      <c r="E30" s="86" t="n"/>
      <c r="F30" s="86" t="n"/>
      <c r="G30" s="86" t="n"/>
      <c r="H30" s="83" t="n"/>
      <c r="I30" s="83" t="n"/>
      <c r="J30" s="83" t="n"/>
      <c r="K30" s="83" t="n"/>
      <c r="L30" s="83" t="n"/>
      <c r="M30" s="83" t="n"/>
      <c r="N30" s="94" t="n"/>
      <c r="O30" s="92" t="n"/>
      <c r="P30" s="89" t="n">
        <v>10</v>
      </c>
      <c r="Q30" s="89">
        <f>P30*L30</f>
        <v/>
      </c>
      <c r="R30" s="83" t="n"/>
      <c r="S30" s="83" t="n"/>
      <c r="T30" s="90" t="n"/>
    </row>
    <row r="31" ht="14.4" customFormat="1" customHeight="1" s="58">
      <c r="A31" s="83" t="n"/>
      <c r="B31" s="94" t="n"/>
      <c r="C31" s="84" t="n"/>
      <c r="D31" s="86" t="n"/>
      <c r="E31" s="86" t="n"/>
      <c r="F31" s="86" t="n"/>
      <c r="G31" s="86" t="n"/>
      <c r="H31" s="83" t="n"/>
      <c r="I31" s="83" t="n"/>
      <c r="J31" s="83" t="n"/>
      <c r="K31" s="83" t="n"/>
      <c r="L31" s="83" t="n"/>
      <c r="M31" s="83" t="n"/>
      <c r="N31" s="94" t="n"/>
      <c r="O31" s="92" t="n"/>
      <c r="P31" s="89" t="n">
        <v>10</v>
      </c>
      <c r="Q31" s="89">
        <f>P31*L31</f>
        <v/>
      </c>
      <c r="R31" s="83" t="n"/>
      <c r="S31" s="83" t="n"/>
      <c r="T31" s="90" t="n"/>
    </row>
    <row r="32" ht="14.4" customFormat="1" customHeight="1" s="58">
      <c r="A32" s="83" t="n"/>
      <c r="B32" s="94" t="n"/>
      <c r="C32" s="84" t="n"/>
      <c r="D32" s="86" t="n"/>
      <c r="E32" s="86" t="n"/>
      <c r="F32" s="86" t="n"/>
      <c r="G32" s="86" t="n"/>
      <c r="H32" s="83" t="n"/>
      <c r="I32" s="83" t="n"/>
      <c r="J32" s="83" t="n"/>
      <c r="K32" s="83" t="n"/>
      <c r="L32" s="83" t="n"/>
      <c r="M32" s="83" t="n"/>
      <c r="N32" s="94" t="n"/>
      <c r="O32" s="92" t="n"/>
      <c r="P32" s="89" t="n">
        <v>10</v>
      </c>
      <c r="Q32" s="89">
        <f>P32*L32</f>
        <v/>
      </c>
      <c r="R32" s="83" t="n"/>
      <c r="S32" s="83" t="n"/>
      <c r="T32" s="90" t="n"/>
    </row>
    <row r="33" ht="14.4" customFormat="1" customHeight="1" s="58">
      <c r="A33" s="83" t="n"/>
      <c r="B33" s="94" t="n"/>
      <c r="C33" s="84" t="n"/>
      <c r="D33" s="86" t="n"/>
      <c r="E33" s="86" t="n"/>
      <c r="F33" s="86" t="n"/>
      <c r="G33" s="86" t="n"/>
      <c r="H33" s="83" t="n"/>
      <c r="I33" s="83" t="n"/>
      <c r="J33" s="83" t="n"/>
      <c r="K33" s="83" t="n"/>
      <c r="L33" s="83" t="n"/>
      <c r="M33" s="83" t="n"/>
      <c r="N33" s="94" t="n"/>
      <c r="O33" s="92" t="n"/>
      <c r="P33" s="89" t="n">
        <v>10</v>
      </c>
      <c r="Q33" s="89">
        <f>P33*L33</f>
        <v/>
      </c>
      <c r="R33" s="83" t="n"/>
      <c r="S33" s="83" t="n"/>
      <c r="T33" s="90" t="n"/>
    </row>
    <row r="34" ht="14.4" customFormat="1" customHeight="1" s="58">
      <c r="A34" s="83" t="n"/>
      <c r="B34" s="94" t="n"/>
      <c r="C34" s="84" t="n"/>
      <c r="D34" s="86" t="n"/>
      <c r="E34" s="86" t="n"/>
      <c r="F34" s="86" t="n"/>
      <c r="G34" s="86" t="n"/>
      <c r="H34" s="83" t="n"/>
      <c r="I34" s="83" t="n"/>
      <c r="J34" s="83" t="n"/>
      <c r="K34" s="83" t="n"/>
      <c r="L34" s="83" t="n"/>
      <c r="M34" s="83" t="n"/>
      <c r="N34" s="94" t="n"/>
      <c r="O34" s="92" t="n"/>
      <c r="P34" s="89" t="n">
        <v>10</v>
      </c>
      <c r="Q34" s="89">
        <f>P34*L34</f>
        <v/>
      </c>
      <c r="R34" s="83" t="n"/>
      <c r="S34" s="83" t="n"/>
      <c r="T34" s="90" t="n"/>
    </row>
    <row r="35" ht="14.4" customFormat="1" customHeight="1" s="58">
      <c r="A35" s="83" t="n"/>
      <c r="B35" s="94" t="n"/>
      <c r="C35" s="84" t="n"/>
      <c r="D35" s="86" t="n"/>
      <c r="E35" s="86" t="n"/>
      <c r="F35" s="86" t="n"/>
      <c r="G35" s="86" t="n"/>
      <c r="H35" s="83" t="n"/>
      <c r="I35" s="83" t="n"/>
      <c r="J35" s="83" t="n"/>
      <c r="K35" s="83" t="n"/>
      <c r="L35" s="83" t="n"/>
      <c r="M35" s="83" t="n"/>
      <c r="N35" s="94" t="n"/>
      <c r="O35" s="92" t="n"/>
      <c r="P35" s="89" t="n">
        <v>10</v>
      </c>
      <c r="Q35" s="89">
        <f>P35*L35</f>
        <v/>
      </c>
      <c r="R35" s="83" t="n"/>
      <c r="S35" s="83" t="n"/>
      <c r="T35" s="90" t="n"/>
    </row>
    <row r="36" ht="14.4" customFormat="1" customHeight="1" s="58">
      <c r="A36" s="83" t="n"/>
      <c r="B36" s="94" t="n"/>
      <c r="C36" s="84" t="n"/>
      <c r="D36" s="86" t="n"/>
      <c r="E36" s="86" t="n"/>
      <c r="F36" s="86" t="n"/>
      <c r="G36" s="86" t="n"/>
      <c r="H36" s="83" t="n"/>
      <c r="I36" s="83" t="n"/>
      <c r="J36" s="83" t="n"/>
      <c r="K36" s="83" t="n"/>
      <c r="L36" s="83" t="n"/>
      <c r="M36" s="83" t="n"/>
      <c r="N36" s="94" t="n"/>
      <c r="O36" s="92" t="n"/>
      <c r="P36" s="89" t="n">
        <v>10</v>
      </c>
      <c r="Q36" s="89">
        <f>P36*L36</f>
        <v/>
      </c>
      <c r="R36" s="83" t="n"/>
      <c r="S36" s="83" t="n"/>
      <c r="T36" s="90" t="n"/>
    </row>
    <row r="37" ht="14.4" customFormat="1" customHeight="1" s="58">
      <c r="A37" s="83" t="n"/>
      <c r="B37" s="94" t="n"/>
      <c r="C37" s="84" t="n"/>
      <c r="D37" s="86" t="n"/>
      <c r="E37" s="86" t="n"/>
      <c r="F37" s="86" t="n"/>
      <c r="G37" s="86" t="n"/>
      <c r="H37" s="83" t="n"/>
      <c r="I37" s="83" t="n"/>
      <c r="J37" s="83" t="n"/>
      <c r="K37" s="83" t="n"/>
      <c r="L37" s="83" t="n"/>
      <c r="M37" s="83" t="n"/>
      <c r="N37" s="94" t="n"/>
      <c r="O37" s="92" t="n"/>
      <c r="P37" s="89" t="n">
        <v>10</v>
      </c>
      <c r="Q37" s="89">
        <f>P37*L37</f>
        <v/>
      </c>
      <c r="R37" s="83" t="n"/>
      <c r="S37" s="83" t="n"/>
      <c r="T37" s="90" t="n"/>
    </row>
    <row r="38" ht="14.4" customFormat="1" customHeight="1" s="58">
      <c r="A38" s="83" t="n"/>
      <c r="B38" s="94" t="n"/>
      <c r="C38" s="84" t="n"/>
      <c r="D38" s="86" t="n"/>
      <c r="E38" s="86" t="n"/>
      <c r="F38" s="86" t="n"/>
      <c r="G38" s="86" t="n"/>
      <c r="H38" s="83" t="n"/>
      <c r="I38" s="83" t="n"/>
      <c r="J38" s="83" t="n"/>
      <c r="K38" s="83" t="n"/>
      <c r="L38" s="83" t="n"/>
      <c r="M38" s="83" t="n"/>
      <c r="N38" s="94" t="n"/>
      <c r="O38" s="92" t="n"/>
      <c r="P38" s="89" t="n">
        <v>10</v>
      </c>
      <c r="Q38" s="89">
        <f>P38*L38</f>
        <v/>
      </c>
      <c r="R38" s="83" t="n"/>
      <c r="S38" s="83" t="n"/>
      <c r="T38" s="90" t="n"/>
    </row>
    <row r="39" ht="14.4" customFormat="1" customHeight="1" s="58">
      <c r="A39" s="83" t="n"/>
      <c r="B39" s="94" t="n"/>
      <c r="C39" s="84" t="n"/>
      <c r="D39" s="86" t="n"/>
      <c r="E39" s="86" t="n"/>
      <c r="F39" s="86" t="n"/>
      <c r="G39" s="86" t="n"/>
      <c r="H39" s="83" t="n"/>
      <c r="I39" s="83" t="n"/>
      <c r="J39" s="83" t="n"/>
      <c r="K39" s="83" t="n"/>
      <c r="L39" s="83" t="n"/>
      <c r="M39" s="83" t="n"/>
      <c r="N39" s="94" t="n"/>
      <c r="O39" s="92" t="n"/>
      <c r="P39" s="89" t="n">
        <v>10</v>
      </c>
      <c r="Q39" s="89">
        <f>P39*L39</f>
        <v/>
      </c>
      <c r="R39" s="83" t="n"/>
      <c r="S39" s="83" t="n"/>
      <c r="T39" s="90" t="n"/>
    </row>
    <row r="40" ht="14.4" customFormat="1" customHeight="1" s="58">
      <c r="A40" s="83" t="n"/>
      <c r="B40" s="94" t="n"/>
      <c r="C40" s="84" t="n"/>
      <c r="D40" s="86" t="n"/>
      <c r="E40" s="86" t="n"/>
      <c r="F40" s="86" t="n"/>
      <c r="G40" s="93" t="n"/>
      <c r="H40" s="83" t="n"/>
      <c r="I40" s="83" t="n"/>
      <c r="J40" s="83" t="n"/>
      <c r="K40" s="83" t="n"/>
      <c r="L40" s="83" t="n"/>
      <c r="M40" s="83" t="n"/>
      <c r="N40" s="94" t="n"/>
      <c r="O40" s="92" t="n"/>
      <c r="P40" s="89" t="n">
        <v>10</v>
      </c>
      <c r="Q40" s="89">
        <f>P40*L40</f>
        <v/>
      </c>
      <c r="R40" s="83" t="n"/>
      <c r="S40" s="83" t="n"/>
      <c r="T40" s="90" t="n"/>
    </row>
    <row r="41" ht="14.4" customFormat="1" customHeight="1" s="58">
      <c r="A41" s="83" t="n"/>
      <c r="B41" s="94" t="n"/>
      <c r="C41" s="84" t="n"/>
      <c r="D41" s="86" t="n"/>
      <c r="E41" s="86" t="n"/>
      <c r="F41" s="86" t="n"/>
      <c r="G41" s="86" t="n"/>
      <c r="H41" s="83" t="n"/>
      <c r="I41" s="83" t="n"/>
      <c r="J41" s="83" t="n"/>
      <c r="K41" s="83" t="n"/>
      <c r="L41" s="83" t="n"/>
      <c r="M41" s="83" t="n"/>
      <c r="N41" s="94" t="n"/>
      <c r="O41" s="92" t="n"/>
      <c r="P41" s="89" t="n">
        <v>10</v>
      </c>
      <c r="Q41" s="89">
        <f>P41*L41</f>
        <v/>
      </c>
      <c r="R41" s="83" t="n"/>
      <c r="S41" s="83" t="n"/>
      <c r="T41" s="90" t="n"/>
    </row>
    <row r="42" ht="14.4" customFormat="1" customHeight="1" s="58">
      <c r="A42" s="83" t="n"/>
      <c r="B42" s="94" t="n"/>
      <c r="C42" s="84" t="n"/>
      <c r="D42" s="86" t="n"/>
      <c r="E42" s="86" t="n"/>
      <c r="F42" s="86" t="n"/>
      <c r="G42" s="86" t="n"/>
      <c r="H42" s="83" t="n"/>
      <c r="I42" s="83" t="n"/>
      <c r="J42" s="83" t="n"/>
      <c r="K42" s="83" t="n"/>
      <c r="L42" s="83" t="n"/>
      <c r="M42" s="83" t="n"/>
      <c r="N42" s="94" t="n"/>
      <c r="O42" s="92" t="n"/>
      <c r="P42" s="89" t="n">
        <v>10</v>
      </c>
      <c r="Q42" s="89">
        <f>P42*L42</f>
        <v/>
      </c>
      <c r="R42" s="83" t="n"/>
      <c r="S42" s="83" t="n"/>
      <c r="T42" s="90" t="n"/>
    </row>
    <row r="43" ht="14.4" customFormat="1" customHeight="1" s="58">
      <c r="A43" s="83" t="n"/>
      <c r="B43" s="94" t="n"/>
      <c r="C43" s="84" t="n"/>
      <c r="D43" s="86" t="n"/>
      <c r="E43" s="86" t="n"/>
      <c r="F43" s="91" t="n"/>
      <c r="G43" s="86" t="n"/>
      <c r="H43" s="83" t="n"/>
      <c r="I43" s="83" t="n"/>
      <c r="J43" s="83" t="n"/>
      <c r="K43" s="83" t="n"/>
      <c r="L43" s="83" t="n"/>
      <c r="M43" s="83" t="n"/>
      <c r="N43" s="94" t="n"/>
      <c r="O43" s="92" t="n"/>
      <c r="P43" s="89" t="n">
        <v>10</v>
      </c>
      <c r="Q43" s="89">
        <f>P43*L43</f>
        <v/>
      </c>
      <c r="R43" s="83" t="n"/>
      <c r="S43" s="83" t="n"/>
      <c r="T43" s="90" t="n"/>
    </row>
    <row r="44" ht="14.4" customFormat="1" customHeight="1" s="58">
      <c r="A44" s="83" t="n"/>
      <c r="B44" s="94" t="n"/>
      <c r="C44" s="84" t="n"/>
      <c r="D44" s="86" t="n"/>
      <c r="E44" s="86" t="n"/>
      <c r="F44" s="86" t="n"/>
      <c r="G44" s="86" t="n"/>
      <c r="H44" s="83" t="n"/>
      <c r="I44" s="83" t="n"/>
      <c r="J44" s="83" t="n"/>
      <c r="K44" s="83" t="n"/>
      <c r="L44" s="83" t="n"/>
      <c r="M44" s="83" t="n"/>
      <c r="N44" s="94" t="n"/>
      <c r="O44" s="92" t="n"/>
      <c r="P44" s="89" t="n">
        <v>10</v>
      </c>
      <c r="Q44" s="89">
        <f>P44*L44</f>
        <v/>
      </c>
      <c r="R44" s="83" t="n"/>
      <c r="S44" s="83" t="n"/>
      <c r="T44" s="90" t="n"/>
    </row>
    <row r="45" ht="14.4" customFormat="1" customHeight="1" s="58">
      <c r="A45" s="83" t="n"/>
      <c r="B45" s="94" t="n"/>
      <c r="C45" s="84" t="n"/>
      <c r="D45" s="86" t="n"/>
      <c r="E45" s="86" t="n"/>
      <c r="F45" s="86" t="n"/>
      <c r="G45" s="86" t="n"/>
      <c r="H45" s="83" t="n"/>
      <c r="I45" s="83" t="n"/>
      <c r="J45" s="83" t="n"/>
      <c r="K45" s="83" t="n"/>
      <c r="L45" s="83" t="n"/>
      <c r="M45" s="83" t="n"/>
      <c r="N45" s="94" t="n"/>
      <c r="O45" s="92" t="n"/>
      <c r="P45" s="89" t="n">
        <v>10</v>
      </c>
      <c r="Q45" s="89">
        <f>P45*L45</f>
        <v/>
      </c>
      <c r="R45" s="83" t="n"/>
      <c r="S45" s="83" t="n"/>
      <c r="T45" s="90" t="n"/>
    </row>
    <row r="46" ht="14.4" customFormat="1" customHeight="1" s="58">
      <c r="A46" s="83" t="n"/>
      <c r="B46" s="94" t="n"/>
      <c r="C46" s="84" t="n"/>
      <c r="D46" s="86" t="n"/>
      <c r="E46" s="86" t="n"/>
      <c r="F46" s="86" t="n"/>
      <c r="G46" s="86" t="n"/>
      <c r="H46" s="83" t="n"/>
      <c r="I46" s="83" t="n"/>
      <c r="J46" s="83" t="n"/>
      <c r="K46" s="83" t="n"/>
      <c r="L46" s="83" t="n"/>
      <c r="M46" s="83" t="n"/>
      <c r="N46" s="94" t="n"/>
      <c r="O46" s="92" t="n"/>
      <c r="P46" s="89" t="n">
        <v>10</v>
      </c>
      <c r="Q46" s="89">
        <f>P46*L46</f>
        <v/>
      </c>
      <c r="R46" s="83" t="n"/>
      <c r="S46" s="83" t="n"/>
      <c r="T46" s="90" t="n"/>
    </row>
    <row r="47" ht="14.4" customFormat="1" customHeight="1" s="58">
      <c r="A47" s="83" t="n"/>
      <c r="B47" s="94" t="n"/>
      <c r="C47" s="84" t="n"/>
      <c r="D47" s="86" t="n"/>
      <c r="E47" s="86" t="n"/>
      <c r="F47" s="86" t="n"/>
      <c r="G47" s="86" t="n"/>
      <c r="H47" s="83" t="n"/>
      <c r="I47" s="83" t="n"/>
      <c r="J47" s="83" t="n"/>
      <c r="K47" s="83" t="n"/>
      <c r="L47" s="83" t="n"/>
      <c r="M47" s="83" t="n"/>
      <c r="N47" s="94" t="n"/>
      <c r="O47" s="92" t="n"/>
      <c r="P47" s="89" t="n">
        <v>10</v>
      </c>
      <c r="Q47" s="89">
        <f>P47*L47</f>
        <v/>
      </c>
      <c r="R47" s="83" t="n"/>
      <c r="S47" s="83" t="n"/>
      <c r="T47" s="90" t="n"/>
    </row>
    <row r="48" ht="14.4" customFormat="1" customHeight="1" s="58">
      <c r="A48" s="83" t="n"/>
      <c r="B48" s="94" t="n"/>
      <c r="C48" s="84" t="n"/>
      <c r="D48" s="86" t="n"/>
      <c r="E48" s="86" t="n"/>
      <c r="F48" s="86" t="n"/>
      <c r="G48" s="86" t="n"/>
      <c r="H48" s="83" t="n"/>
      <c r="I48" s="83" t="n"/>
      <c r="J48" s="83" t="n"/>
      <c r="K48" s="83" t="n"/>
      <c r="L48" s="83" t="n"/>
      <c r="M48" s="83" t="n"/>
      <c r="N48" s="94" t="n"/>
      <c r="O48" s="92" t="n"/>
      <c r="P48" s="89" t="n">
        <v>10</v>
      </c>
      <c r="Q48" s="89">
        <f>P48*L48</f>
        <v/>
      </c>
      <c r="R48" s="83" t="n"/>
      <c r="S48" s="83" t="n"/>
      <c r="T48" s="90" t="n"/>
    </row>
    <row r="49" ht="14.4" customFormat="1" customHeight="1" s="58">
      <c r="A49" s="83" t="n"/>
      <c r="B49" s="94" t="n"/>
      <c r="C49" s="84" t="n"/>
      <c r="D49" s="86" t="n"/>
      <c r="E49" s="86" t="n"/>
      <c r="F49" s="86" t="n"/>
      <c r="G49" s="86" t="n"/>
      <c r="H49" s="83" t="n"/>
      <c r="I49" s="83" t="n"/>
      <c r="J49" s="83" t="n"/>
      <c r="K49" s="83" t="n"/>
      <c r="L49" s="83" t="n"/>
      <c r="M49" s="83" t="n"/>
      <c r="N49" s="94" t="n"/>
      <c r="O49" s="92" t="n"/>
      <c r="P49" s="89" t="n">
        <v>10</v>
      </c>
      <c r="Q49" s="89">
        <f>P49*L49</f>
        <v/>
      </c>
      <c r="R49" s="83" t="n"/>
      <c r="S49" s="83" t="n"/>
      <c r="T49" s="90" t="n"/>
    </row>
    <row r="50" ht="14.4" customFormat="1" customHeight="1" s="58">
      <c r="A50" s="83" t="n"/>
      <c r="B50" s="94" t="n"/>
      <c r="C50" s="84" t="n"/>
      <c r="D50" s="86" t="n"/>
      <c r="E50" s="86" t="n"/>
      <c r="F50" s="86" t="n"/>
      <c r="G50" s="86" t="n"/>
      <c r="H50" s="83" t="n"/>
      <c r="I50" s="83" t="n"/>
      <c r="J50" s="83" t="n"/>
      <c r="K50" s="83" t="n"/>
      <c r="L50" s="83" t="n"/>
      <c r="M50" s="83" t="n"/>
      <c r="N50" s="94" t="n"/>
      <c r="O50" s="92" t="n"/>
      <c r="P50" s="89" t="n">
        <v>10</v>
      </c>
      <c r="Q50" s="89">
        <f>P50*L50</f>
        <v/>
      </c>
      <c r="R50" s="83" t="n"/>
      <c r="S50" s="83" t="n"/>
      <c r="T50" s="90" t="n"/>
    </row>
    <row r="51" ht="14.4" customFormat="1" customHeight="1" s="58">
      <c r="A51" s="83" t="n"/>
      <c r="B51" s="94" t="n"/>
      <c r="C51" s="84" t="n"/>
      <c r="D51" s="86" t="n"/>
      <c r="E51" s="86" t="n"/>
      <c r="F51" s="86" t="n"/>
      <c r="G51" s="86" t="n"/>
      <c r="H51" s="83" t="n"/>
      <c r="I51" s="83" t="n"/>
      <c r="J51" s="83" t="n"/>
      <c r="K51" s="83" t="n"/>
      <c r="L51" s="83" t="n"/>
      <c r="M51" s="83" t="n"/>
      <c r="N51" s="94" t="n"/>
      <c r="O51" s="92" t="n"/>
      <c r="P51" s="89" t="n">
        <v>10</v>
      </c>
      <c r="Q51" s="89">
        <f>P51*L51</f>
        <v/>
      </c>
      <c r="R51" s="83" t="n"/>
      <c r="S51" s="83" t="n"/>
      <c r="T51" s="90" t="n"/>
    </row>
    <row r="52" ht="14.4" customFormat="1" customHeight="1" s="58">
      <c r="A52" s="83" t="n"/>
      <c r="B52" s="94" t="n"/>
      <c r="C52" s="84" t="n"/>
      <c r="D52" s="86" t="n"/>
      <c r="E52" s="86" t="n"/>
      <c r="F52" s="86" t="n"/>
      <c r="G52" s="93" t="n"/>
      <c r="H52" s="83" t="n"/>
      <c r="I52" s="83" t="n"/>
      <c r="J52" s="83" t="n"/>
      <c r="K52" s="83" t="n"/>
      <c r="L52" s="83" t="n"/>
      <c r="M52" s="83" t="n"/>
      <c r="N52" s="94" t="n"/>
      <c r="O52" s="92" t="n"/>
      <c r="P52" s="89" t="n">
        <v>10</v>
      </c>
      <c r="Q52" s="89">
        <f>P52*L52</f>
        <v/>
      </c>
      <c r="R52" s="83" t="n"/>
      <c r="S52" s="83" t="n"/>
      <c r="T52" s="90" t="n"/>
    </row>
    <row r="53" ht="14.4" customFormat="1" customHeight="1" s="58">
      <c r="A53" s="83" t="n"/>
      <c r="B53" s="94" t="n"/>
      <c r="C53" s="84" t="n"/>
      <c r="D53" s="86" t="n"/>
      <c r="E53" s="86" t="n"/>
      <c r="F53" s="86" t="n"/>
      <c r="G53" s="86" t="n"/>
      <c r="H53" s="83" t="n"/>
      <c r="I53" s="83" t="n"/>
      <c r="J53" s="83" t="n"/>
      <c r="K53" s="83" t="n"/>
      <c r="L53" s="83" t="n"/>
      <c r="M53" s="83" t="n"/>
      <c r="N53" s="94" t="n"/>
      <c r="O53" s="92" t="n"/>
      <c r="P53" s="89" t="n">
        <v>10</v>
      </c>
      <c r="Q53" s="89">
        <f>P53*L53</f>
        <v/>
      </c>
      <c r="R53" s="83" t="n"/>
      <c r="S53" s="83" t="n"/>
      <c r="T53" s="90" t="n"/>
    </row>
    <row r="54" ht="14.4" customFormat="1" customHeight="1" s="58">
      <c r="A54" s="83" t="n"/>
      <c r="B54" s="94" t="n"/>
      <c r="C54" s="84" t="n"/>
      <c r="D54" s="86" t="n"/>
      <c r="E54" s="86" t="n"/>
      <c r="F54" s="86" t="n"/>
      <c r="G54" s="93" t="n"/>
      <c r="H54" s="83" t="n"/>
      <c r="I54" s="83" t="n"/>
      <c r="J54" s="83" t="n"/>
      <c r="K54" s="83" t="n"/>
      <c r="L54" s="83" t="n"/>
      <c r="M54" s="83" t="n"/>
      <c r="N54" s="94" t="n"/>
      <c r="O54" s="92" t="n"/>
      <c r="P54" s="89" t="n">
        <v>10</v>
      </c>
      <c r="Q54" s="89">
        <f>P54*L54</f>
        <v/>
      </c>
      <c r="R54" s="83" t="n"/>
      <c r="S54" s="83" t="n"/>
      <c r="T54" s="90" t="n"/>
    </row>
    <row r="55" ht="14.4" customFormat="1" customHeight="1" s="58">
      <c r="A55" s="83" t="n"/>
      <c r="B55" s="94" t="n"/>
      <c r="C55" s="84" t="n"/>
      <c r="D55" s="86" t="n"/>
      <c r="E55" s="86" t="n"/>
      <c r="F55" s="86" t="n"/>
      <c r="G55" s="86" t="n"/>
      <c r="H55" s="83" t="n"/>
      <c r="I55" s="83" t="n"/>
      <c r="J55" s="83" t="n"/>
      <c r="K55" s="83" t="n"/>
      <c r="L55" s="83" t="n"/>
      <c r="M55" s="83" t="n"/>
      <c r="N55" s="94" t="n"/>
      <c r="O55" s="92" t="n"/>
      <c r="P55" s="89" t="n">
        <v>10</v>
      </c>
      <c r="Q55" s="89">
        <f>P55*L55</f>
        <v/>
      </c>
      <c r="R55" s="83" t="n"/>
      <c r="S55" s="83" t="n"/>
      <c r="T55" s="90" t="n"/>
    </row>
    <row r="56" ht="14.4" customFormat="1" customHeight="1" s="58">
      <c r="A56" s="83" t="n"/>
      <c r="B56" s="94" t="n"/>
      <c r="C56" s="84" t="n"/>
      <c r="D56" s="86" t="n"/>
      <c r="E56" s="86" t="n"/>
      <c r="F56" s="86" t="n"/>
      <c r="G56" s="86" t="n"/>
      <c r="H56" s="83" t="n"/>
      <c r="I56" s="83" t="n"/>
      <c r="J56" s="83" t="n"/>
      <c r="K56" s="83" t="n"/>
      <c r="L56" s="83" t="n"/>
      <c r="M56" s="83" t="n"/>
      <c r="N56" s="94" t="n"/>
      <c r="O56" s="92" t="n"/>
      <c r="P56" s="89" t="n">
        <v>10</v>
      </c>
      <c r="Q56" s="89">
        <f>P56*L56</f>
        <v/>
      </c>
      <c r="R56" s="83" t="n"/>
      <c r="S56" s="83" t="n"/>
      <c r="T56" s="90" t="n"/>
    </row>
    <row r="57" ht="14.4" customFormat="1" customHeight="1" s="58">
      <c r="A57" s="83" t="n"/>
      <c r="B57" s="94" t="n"/>
      <c r="C57" s="84" t="n"/>
      <c r="D57" s="86" t="n"/>
      <c r="E57" s="86" t="n"/>
      <c r="F57" s="86" t="n"/>
      <c r="G57" s="86" t="n"/>
      <c r="H57" s="83" t="n"/>
      <c r="I57" s="83" t="n"/>
      <c r="J57" s="83" t="n"/>
      <c r="K57" s="83" t="n"/>
      <c r="L57" s="83" t="n"/>
      <c r="M57" s="83" t="n"/>
      <c r="N57" s="94" t="n"/>
      <c r="O57" s="92" t="n"/>
      <c r="P57" s="89" t="n">
        <v>10</v>
      </c>
      <c r="Q57" s="89">
        <f>P57*L57</f>
        <v/>
      </c>
      <c r="R57" s="83" t="n"/>
      <c r="S57" s="83" t="n"/>
      <c r="T57" s="90" t="n"/>
    </row>
    <row r="58" ht="14.4" customFormat="1" customHeight="1" s="58">
      <c r="A58" s="83" t="n"/>
      <c r="B58" s="94" t="n"/>
      <c r="C58" s="84" t="n"/>
      <c r="D58" s="86" t="n"/>
      <c r="E58" s="86" t="n"/>
      <c r="F58" s="86" t="n"/>
      <c r="G58" s="93" t="n"/>
      <c r="H58" s="83" t="n"/>
      <c r="I58" s="83" t="n"/>
      <c r="J58" s="83" t="n"/>
      <c r="K58" s="83" t="n"/>
      <c r="L58" s="83" t="n"/>
      <c r="M58" s="83" t="n"/>
      <c r="N58" s="94" t="n"/>
      <c r="O58" s="92" t="n"/>
      <c r="P58" s="89" t="n">
        <v>10</v>
      </c>
      <c r="Q58" s="89">
        <f>P58*L58</f>
        <v/>
      </c>
      <c r="R58" s="83" t="n"/>
      <c r="S58" s="83" t="n"/>
      <c r="T58" s="90" t="n"/>
    </row>
    <row r="59" ht="14.4" customFormat="1" customHeight="1" s="58">
      <c r="A59" s="83" t="n"/>
      <c r="B59" s="94" t="n"/>
      <c r="C59" s="84" t="n"/>
      <c r="D59" s="86" t="n"/>
      <c r="E59" s="86" t="n"/>
      <c r="F59" s="86" t="n"/>
      <c r="G59" s="86" t="n"/>
      <c r="H59" s="83" t="n"/>
      <c r="I59" s="83" t="n"/>
      <c r="J59" s="83" t="n"/>
      <c r="K59" s="83" t="n"/>
      <c r="L59" s="83" t="n"/>
      <c r="M59" s="83" t="n"/>
      <c r="N59" s="94" t="n"/>
      <c r="O59" s="92" t="n"/>
      <c r="P59" s="89" t="n">
        <v>10</v>
      </c>
      <c r="Q59" s="89">
        <f>P59*L59</f>
        <v/>
      </c>
      <c r="R59" s="83" t="n"/>
      <c r="S59" s="83" t="n"/>
      <c r="T59" s="90" t="n"/>
    </row>
    <row r="60" ht="14.4" customFormat="1" customHeight="1" s="58">
      <c r="A60" s="83" t="n"/>
      <c r="B60" s="94" t="n"/>
      <c r="C60" s="84" t="n"/>
      <c r="D60" s="86" t="n"/>
      <c r="E60" s="86" t="n"/>
      <c r="F60" s="86" t="n"/>
      <c r="G60" s="86" t="n"/>
      <c r="H60" s="83" t="n"/>
      <c r="I60" s="83" t="n"/>
      <c r="J60" s="83" t="n"/>
      <c r="K60" s="83" t="n"/>
      <c r="L60" s="83" t="n"/>
      <c r="M60" s="83" t="n"/>
      <c r="N60" s="94" t="n"/>
      <c r="O60" s="92" t="n"/>
      <c r="P60" s="89" t="n"/>
      <c r="Q60" s="89">
        <f>P60*L60</f>
        <v/>
      </c>
      <c r="R60" s="83" t="n"/>
      <c r="S60" s="83" t="n"/>
      <c r="T60" s="90" t="n"/>
    </row>
    <row r="61" ht="14.4" customFormat="1" customHeight="1" s="58">
      <c r="A61" s="83" t="n"/>
      <c r="B61" s="94" t="n"/>
      <c r="C61" s="84" t="n"/>
      <c r="D61" s="86" t="n"/>
      <c r="E61" s="86" t="n"/>
      <c r="F61" s="86" t="n"/>
      <c r="G61" s="86" t="n"/>
      <c r="H61" s="83" t="n"/>
      <c r="I61" s="83" t="n"/>
      <c r="J61" s="83" t="n"/>
      <c r="K61" s="83" t="n"/>
      <c r="L61" s="83" t="n"/>
      <c r="M61" s="83" t="n"/>
      <c r="N61" s="94" t="n"/>
      <c r="O61" s="92" t="n"/>
      <c r="P61" s="89" t="n"/>
      <c r="Q61" s="89">
        <f>P61*L61</f>
        <v/>
      </c>
      <c r="R61" s="83" t="n"/>
      <c r="S61" s="83" t="n"/>
      <c r="T61" s="90" t="n"/>
    </row>
    <row r="62" ht="14.4" customFormat="1" customHeight="1" s="58">
      <c r="A62" s="83" t="n"/>
      <c r="B62" s="94" t="n"/>
      <c r="C62" s="86" t="n"/>
      <c r="D62" s="86" t="n"/>
      <c r="E62" s="86" t="n"/>
      <c r="F62" s="86" t="n"/>
      <c r="G62" s="86" t="n"/>
      <c r="H62" s="83" t="n"/>
      <c r="I62" s="83" t="n"/>
      <c r="J62" s="83" t="n"/>
      <c r="K62" s="83" t="n"/>
      <c r="L62" s="83" t="n"/>
      <c r="M62" s="83" t="n"/>
      <c r="N62" s="94" t="n"/>
      <c r="O62" s="92" t="n"/>
      <c r="P62" s="89" t="n"/>
      <c r="Q62" s="89">
        <f>P62*L62</f>
        <v/>
      </c>
      <c r="R62" s="83" t="n"/>
      <c r="S62" s="83" t="n"/>
      <c r="T62" s="90" t="n"/>
    </row>
    <row r="63" ht="14.4" customFormat="1" customHeight="1" s="58">
      <c r="A63" s="83" t="n"/>
      <c r="B63" s="95" t="n"/>
      <c r="C63" s="86" t="n"/>
      <c r="D63" s="96" t="n"/>
      <c r="E63" s="96" t="n"/>
      <c r="F63" s="86" t="n"/>
      <c r="G63" s="86" t="n"/>
      <c r="H63" s="83" t="n"/>
      <c r="I63" s="83" t="n"/>
      <c r="J63" s="83" t="n"/>
      <c r="K63" s="83" t="n"/>
      <c r="L63" s="95" t="n"/>
      <c r="M63" s="95" t="n"/>
      <c r="N63" s="95" t="n"/>
      <c r="O63" s="95" t="n"/>
      <c r="P63" s="97" t="n"/>
      <c r="Q63" s="89">
        <f>P63*L63</f>
        <v/>
      </c>
      <c r="R63" s="83" t="n"/>
      <c r="S63" s="83" t="n"/>
      <c r="T63" s="90" t="n"/>
    </row>
    <row r="64" ht="14.4" customFormat="1" customHeight="1" s="58">
      <c r="A64" s="91" t="n"/>
      <c r="B64" s="91" t="n"/>
      <c r="C64" s="91" t="n"/>
      <c r="D64" s="98" t="n"/>
      <c r="E64" s="98" t="n"/>
      <c r="F64" s="98" t="n"/>
      <c r="G64" s="98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9">
        <f>SUM(Q2:Q63)</f>
        <v/>
      </c>
      <c r="R64" s="91" t="n"/>
      <c r="S64" s="83" t="n"/>
      <c r="T64" s="100">
        <f>SUM(T2:T63)</f>
        <v/>
      </c>
    </row>
    <row r="65" ht="14.4" customHeight="1">
      <c r="A65" s="91" t="n"/>
      <c r="B65" s="91" t="n"/>
      <c r="C65" s="98" t="n"/>
      <c r="D65" s="98" t="n"/>
      <c r="E65" s="98" t="n"/>
      <c r="F65" s="98" t="n"/>
      <c r="G65" s="98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101" t="n"/>
      <c r="R65" s="91" t="n"/>
      <c r="S65" s="83" t="inlineStr">
        <is>
          <t>Vehicle Rent</t>
        </is>
      </c>
      <c r="T65" s="90" t="n">
        <v>35000</v>
      </c>
    </row>
    <row r="66" ht="14.4" customFormat="1" customHeight="1" s="58">
      <c r="A66" s="91" t="n"/>
      <c r="B66" s="91" t="n"/>
      <c r="C66" s="98" t="n"/>
      <c r="D66" s="98" t="n"/>
      <c r="E66" s="98" t="n"/>
      <c r="F66" s="98" t="n"/>
      <c r="G66" s="98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83" t="inlineStr">
        <is>
          <t>CNG - Wk 1</t>
        </is>
      </c>
      <c r="T66" s="83" t="n">
        <v>7715</v>
      </c>
    </row>
    <row r="67" ht="14.4" customFormat="1" customHeight="1" s="58">
      <c r="A67" s="91" t="n"/>
      <c r="B67" s="91" t="n"/>
      <c r="C67" s="98" t="n"/>
      <c r="D67" s="98" t="n"/>
      <c r="E67" s="98" t="n"/>
      <c r="F67" s="98" t="n"/>
      <c r="G67" s="98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83" t="inlineStr">
        <is>
          <t>CNG - Wk 2</t>
        </is>
      </c>
      <c r="T67" s="83" t="n">
        <v>7406</v>
      </c>
    </row>
    <row r="68" ht="14.4" customFormat="1" customHeight="1" s="58">
      <c r="A68" s="91" t="n"/>
      <c r="B68" s="91" t="n"/>
      <c r="C68" s="98" t="n"/>
      <c r="D68" s="98" t="n"/>
      <c r="E68" s="98" t="n"/>
      <c r="F68" s="98" t="n"/>
      <c r="G68" s="98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83" t="inlineStr">
        <is>
          <t>CNG - Wk 3</t>
        </is>
      </c>
      <c r="T68" s="83" t="n"/>
    </row>
    <row r="69" ht="14.4" customFormat="1" customHeight="1" s="58">
      <c r="A69" s="91" t="n"/>
      <c r="B69" s="91" t="n"/>
      <c r="C69" s="98" t="n"/>
      <c r="D69" s="98" t="n"/>
      <c r="E69" s="98" t="n"/>
      <c r="F69" s="98" t="n"/>
      <c r="G69" s="98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83" t="inlineStr">
        <is>
          <t>CNG - Wk 4</t>
        </is>
      </c>
      <c r="T69" s="86" t="n"/>
    </row>
    <row r="70" ht="14.4" customFormat="1" customHeight="1" s="58">
      <c r="A70" s="91" t="n"/>
      <c r="B70" s="91" t="n"/>
      <c r="C70" s="98" t="n"/>
      <c r="D70" s="98" t="n"/>
      <c r="E70" s="98" t="n"/>
      <c r="F70" s="98" t="n"/>
      <c r="G70" s="98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95" t="n"/>
      <c r="T70" s="100">
        <f>SUM(T65:T69)</f>
        <v/>
      </c>
    </row>
    <row r="71" customFormat="1" s="58">
      <c r="A71" s="63" t="n"/>
      <c r="B71" s="63" t="n"/>
      <c r="C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7" t="n"/>
      <c r="T71" s="60" t="n"/>
    </row>
    <row r="72">
      <c r="C72" s="58" t="n"/>
      <c r="S72" s="23" t="inlineStr">
        <is>
          <t>Total Expense</t>
        </is>
      </c>
      <c r="T72" s="79">
        <f>T64+T70</f>
        <v/>
      </c>
    </row>
    <row r="73" customFormat="1" s="58">
      <c r="A73" s="63" t="n"/>
      <c r="B73" s="63" t="n"/>
      <c r="C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23" t="inlineStr">
        <is>
          <t>Total Profit</t>
        </is>
      </c>
      <c r="T73" s="81">
        <f>Q64-T72</f>
        <v/>
      </c>
    </row>
    <row r="74">
      <c r="S74" s="35" t="n"/>
      <c r="T74" s="7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dominicdias0101@outlook.com</dc:creator>
  <dcterms:created xmlns:dcterms="http://purl.org/dc/terms/" xmlns:xsi="http://www.w3.org/2001/XMLSchema-instance" xsi:type="dcterms:W3CDTF">2025-03-07T07:40:07Z</dcterms:created>
  <dcterms:modified xmlns:dcterms="http://purl.org/dc/terms/" xmlns:xsi="http://www.w3.org/2001/XMLSchema-instance" xsi:type="dcterms:W3CDTF">2026-06-15T10:30:20Z</dcterms:modified>
  <cp:lastModifiedBy>Aryan Dcruz</cp:lastModifiedBy>
</cp:coreProperties>
</file>